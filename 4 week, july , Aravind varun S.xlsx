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a3d7746afd9762/Desktop/sopu dabba/sai baba/"/>
    </mc:Choice>
  </mc:AlternateContent>
  <xr:revisionPtr revIDLastSave="339" documentId="8_{9B123004-5AA0-4B63-AA1B-9BFDAAF58297}" xr6:coauthVersionLast="47" xr6:coauthVersionMax="47" xr10:uidLastSave="{CBA30FE4-33A2-48B6-8064-F66EA5FAC8B6}"/>
  <bookViews>
    <workbookView xWindow="-110" yWindow="-110" windowWidth="19420" windowHeight="11500" firstSheet="1" activeTab="5" xr2:uid="{31BB9F46-FE25-45FF-9E73-0E931B66A5A9}"/>
  </bookViews>
  <sheets>
    <sheet name="Transaction " sheetId="1" r:id="rId1"/>
    <sheet name="Journal" sheetId="2" r:id="rId2"/>
    <sheet name="Ledger" sheetId="3" r:id="rId3"/>
    <sheet name="Trial balance " sheetId="4" r:id="rId4"/>
    <sheet name="Income &amp; Expenditure" sheetId="5" r:id="rId5"/>
    <sheet name="Balance she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" l="1"/>
  <c r="C8" i="6"/>
  <c r="F18" i="5"/>
  <c r="C18" i="5"/>
  <c r="H6" i="4" l="1"/>
  <c r="J15" i="3"/>
  <c r="J12" i="3"/>
</calcChain>
</file>

<file path=xl/sharedStrings.xml><?xml version="1.0" encoding="utf-8"?>
<sst xmlns="http://schemas.openxmlformats.org/spreadsheetml/2006/main" count="544" uniqueCount="211">
  <si>
    <t>Week 1</t>
  </si>
  <si>
    <t>1.7.2026</t>
  </si>
  <si>
    <t>Received salary through bank ₹40,000</t>
  </si>
  <si>
    <t>2.7.2026</t>
  </si>
  <si>
    <t>paid petrol expenses₹ 200</t>
  </si>
  <si>
    <t>3.7.2026</t>
  </si>
  <si>
    <t>purchased vegetable for cash₹ 1000</t>
  </si>
  <si>
    <t>4.7.2026</t>
  </si>
  <si>
    <t>purchased groceries for cash ₹500</t>
  </si>
  <si>
    <t>5.7.2026</t>
  </si>
  <si>
    <t>paid mobile recharge ₹350</t>
  </si>
  <si>
    <t>6.7.2026</t>
  </si>
  <si>
    <t>paid laptop EMI ₹9000</t>
  </si>
  <si>
    <t>7.7.2026</t>
  </si>
  <si>
    <t>paid petrol expenses ₹150</t>
  </si>
  <si>
    <t>Week 2</t>
  </si>
  <si>
    <t>8.7.2026</t>
  </si>
  <si>
    <t>withdraw  cash from bank ₹10,000</t>
  </si>
  <si>
    <t>9.7.2026</t>
  </si>
  <si>
    <t>milk expenses ₹500</t>
  </si>
  <si>
    <t>10.7.2026</t>
  </si>
  <si>
    <t>paid petrol expenses ₹200</t>
  </si>
  <si>
    <t>11.7.2026</t>
  </si>
  <si>
    <t>purchased vegetable for cash ₹400</t>
  </si>
  <si>
    <t>12.7.2026</t>
  </si>
  <si>
    <t>purchased rice bag ₹1500</t>
  </si>
  <si>
    <t>13.7.2026</t>
  </si>
  <si>
    <t>14.7.2026</t>
  </si>
  <si>
    <t>Week 3</t>
  </si>
  <si>
    <t>15.7.2026</t>
  </si>
  <si>
    <t>purchased vegetable for cash ₹500</t>
  </si>
  <si>
    <t>16.7.2026</t>
  </si>
  <si>
    <t>17.7.2026</t>
  </si>
  <si>
    <t>18.7.2026</t>
  </si>
  <si>
    <t>purchased Furniture for cash ₹800</t>
  </si>
  <si>
    <t>19.7.2026</t>
  </si>
  <si>
    <t>purchase fish for cash ₹300</t>
  </si>
  <si>
    <t>20.7.2026</t>
  </si>
  <si>
    <t>paid for diary product₹500</t>
  </si>
  <si>
    <t>21.7.2026</t>
  </si>
  <si>
    <t>purchase dress for cash ₹1000</t>
  </si>
  <si>
    <t>Week 4</t>
  </si>
  <si>
    <t>22.7.2026</t>
  </si>
  <si>
    <t>23.7.2026</t>
  </si>
  <si>
    <t>24.7.2026</t>
  </si>
  <si>
    <t>25.7.2026</t>
  </si>
  <si>
    <t>26.7.2026</t>
  </si>
  <si>
    <t>27.7.2026</t>
  </si>
  <si>
    <t>30.7.2026</t>
  </si>
  <si>
    <t>bike EMI ₹5,000</t>
  </si>
  <si>
    <t>date</t>
  </si>
  <si>
    <t>Particulars</t>
  </si>
  <si>
    <t>L.F</t>
  </si>
  <si>
    <t>Debit (₹)</t>
  </si>
  <si>
    <t>Credit (₹)</t>
  </si>
  <si>
    <t xml:space="preserve">Bank A/c </t>
  </si>
  <si>
    <t>Dr</t>
  </si>
  <si>
    <t>To Salary A/c</t>
  </si>
  <si>
    <t>(Received salary through bank)</t>
  </si>
  <si>
    <t xml:space="preserve">Petrol Expenses A/c </t>
  </si>
  <si>
    <t>To Cash A/c</t>
  </si>
  <si>
    <t>(paid petrol expenses)</t>
  </si>
  <si>
    <t xml:space="preserve">Vegetable Expenses A/c </t>
  </si>
  <si>
    <t>(purchased vegetable for cash)</t>
  </si>
  <si>
    <t xml:space="preserve">Groceries Expenses A/c </t>
  </si>
  <si>
    <t>(purchased groceries for cash )</t>
  </si>
  <si>
    <t xml:space="preserve">Mobile Recharge Expenses A/c </t>
  </si>
  <si>
    <t>(paid mobile recharge)</t>
  </si>
  <si>
    <t xml:space="preserve">Laptop EMI A/c </t>
  </si>
  <si>
    <t>To Bank A/c</t>
  </si>
  <si>
    <t>(paid laptop EMI)</t>
  </si>
  <si>
    <t>(paid petrol expenses )</t>
  </si>
  <si>
    <t>08.07.2026</t>
  </si>
  <si>
    <t xml:space="preserve">cash a/c </t>
  </si>
  <si>
    <t>(being withdraw cash from bank)</t>
  </si>
  <si>
    <t>09.07.2026</t>
  </si>
  <si>
    <t xml:space="preserve">Milk Expenses A/c </t>
  </si>
  <si>
    <t>(Being milk expenses paid)</t>
  </si>
  <si>
    <t>10.07.2026</t>
  </si>
  <si>
    <t>(Being petrol expenses paid)</t>
  </si>
  <si>
    <t>11.07.2026</t>
  </si>
  <si>
    <t>(Being vegetables purchased for cash)</t>
  </si>
  <si>
    <t>12.07.2026</t>
  </si>
  <si>
    <t xml:space="preserve">Rice Expenses A/c </t>
  </si>
  <si>
    <t>(Being rice bag purchased for cash)</t>
  </si>
  <si>
    <t>13.07.2026</t>
  </si>
  <si>
    <t>(Being mobile recharge paid)</t>
  </si>
  <si>
    <t>14.07.2026</t>
  </si>
  <si>
    <t>15.07.2026</t>
  </si>
  <si>
    <t>16.07.2026</t>
  </si>
  <si>
    <t>(Being groceries purchased for cash)</t>
  </si>
  <si>
    <t>17.07.2026</t>
  </si>
  <si>
    <t>18.07.2026</t>
  </si>
  <si>
    <t xml:space="preserve">Furniture A/c </t>
  </si>
  <si>
    <t>(Being furniture purchased for cash)</t>
  </si>
  <si>
    <t>19.07.2026</t>
  </si>
  <si>
    <t xml:space="preserve">Fish Expenses A/c </t>
  </si>
  <si>
    <t>(Being fish purchased for cash)</t>
  </si>
  <si>
    <t>20.07.2026</t>
  </si>
  <si>
    <t xml:space="preserve">Dairy Products Expenses A/c </t>
  </si>
  <si>
    <t>(Being dairy products purchased for cash)</t>
  </si>
  <si>
    <t>21.07.2026</t>
  </si>
  <si>
    <t xml:space="preserve">Dress A/c </t>
  </si>
  <si>
    <t>(Being dress purchased for cash)</t>
  </si>
  <si>
    <t>22.07.2026</t>
  </si>
  <si>
    <t>(being purchased groceries for cash)</t>
  </si>
  <si>
    <t>(being purchased vegetable for cash)</t>
  </si>
  <si>
    <t>24.07.2026</t>
  </si>
  <si>
    <t>(being paid petrol expenses)</t>
  </si>
  <si>
    <t>25.07.2026</t>
  </si>
  <si>
    <t>( being paid mobile recharge)</t>
  </si>
  <si>
    <t>26.07.2026</t>
  </si>
  <si>
    <t>(being milk expenses)</t>
  </si>
  <si>
    <t>27.07.2026</t>
  </si>
  <si>
    <t>30.07.2026</t>
  </si>
  <si>
    <t xml:space="preserve">Bike EMI A/c </t>
  </si>
  <si>
    <t>(being bike EMI)</t>
  </si>
  <si>
    <t>In the books of ledger account of Aravind varun for the end of july month</t>
  </si>
  <si>
    <t xml:space="preserve">Cash account </t>
  </si>
  <si>
    <t>Date</t>
  </si>
  <si>
    <t xml:space="preserve">particulars </t>
  </si>
  <si>
    <t>J.F</t>
  </si>
  <si>
    <t>Amount ₹</t>
  </si>
  <si>
    <t>particulars</t>
  </si>
  <si>
    <t xml:space="preserve">To bank a/c </t>
  </si>
  <si>
    <t>By petrol expenses a/c</t>
  </si>
  <si>
    <t>By vegetable expenses a/c</t>
  </si>
  <si>
    <t>By Groceries expenses a/c</t>
  </si>
  <si>
    <t>By mobile recharge expenses a/c</t>
  </si>
  <si>
    <t xml:space="preserve">By milk expenses a/c </t>
  </si>
  <si>
    <t>vegetable expenses a/c</t>
  </si>
  <si>
    <t xml:space="preserve">By rice expenses a/c </t>
  </si>
  <si>
    <t xml:space="preserve">By Mobile Recharge Expenses A/c </t>
  </si>
  <si>
    <t>To balance b/d</t>
  </si>
  <si>
    <t>31.7.2026</t>
  </si>
  <si>
    <t xml:space="preserve">To balance c/d </t>
  </si>
  <si>
    <t>Bank account</t>
  </si>
  <si>
    <t xml:space="preserve">To salary a/c </t>
  </si>
  <si>
    <t xml:space="preserve">By laptop EMI a/c </t>
  </si>
  <si>
    <t>By cash a/c</t>
  </si>
  <si>
    <t>By balance c/d</t>
  </si>
  <si>
    <t xml:space="preserve">Salary account </t>
  </si>
  <si>
    <t>To balance c/d</t>
  </si>
  <si>
    <t xml:space="preserve">By  bank a/c </t>
  </si>
  <si>
    <t>By balance b/d</t>
  </si>
  <si>
    <t xml:space="preserve">petrol expenses </t>
  </si>
  <si>
    <t xml:space="preserve">To cash a/c </t>
  </si>
  <si>
    <t>vegetable expenses</t>
  </si>
  <si>
    <t>To cash a/c</t>
  </si>
  <si>
    <t>Groceries Expenses</t>
  </si>
  <si>
    <t>4.07.2026</t>
  </si>
  <si>
    <t>31.07.2026</t>
  </si>
  <si>
    <t>By Balance c/d</t>
  </si>
  <si>
    <t>Mobile Recharge Expenses</t>
  </si>
  <si>
    <t>05.07.2026</t>
  </si>
  <si>
    <t>Laptop EMI</t>
  </si>
  <si>
    <t>6.07.2026</t>
  </si>
  <si>
    <t xml:space="preserve">To balance b/d </t>
  </si>
  <si>
    <t>Milk Expenses</t>
  </si>
  <si>
    <t>9.07.2026</t>
  </si>
  <si>
    <t>Rice Expenses</t>
  </si>
  <si>
    <t xml:space="preserve">Furniture Account </t>
  </si>
  <si>
    <t xml:space="preserve">fish Account </t>
  </si>
  <si>
    <t xml:space="preserve">To balance  b/d </t>
  </si>
  <si>
    <t xml:space="preserve">Dairy Products Account </t>
  </si>
  <si>
    <t xml:space="preserve">Dress account </t>
  </si>
  <si>
    <t xml:space="preserve">By cash a/c </t>
  </si>
  <si>
    <t xml:space="preserve">By balance b/d </t>
  </si>
  <si>
    <t>Bike EMI</t>
  </si>
  <si>
    <t>S.No</t>
  </si>
  <si>
    <t>Debit ₹</t>
  </si>
  <si>
    <t>Credit ₹</t>
  </si>
  <si>
    <t xml:space="preserve">Total </t>
  </si>
  <si>
    <t>Cash a/c</t>
  </si>
  <si>
    <t>Bank a/c</t>
  </si>
  <si>
    <t>Salary a/c</t>
  </si>
  <si>
    <t>Petrol expenses a/c</t>
  </si>
  <si>
    <t xml:space="preserve">vegetable expenses a/c </t>
  </si>
  <si>
    <t xml:space="preserve">Groceries expenses a/c </t>
  </si>
  <si>
    <t xml:space="preserve">mobile recharge expenses a/c </t>
  </si>
  <si>
    <t>Laptop EMI  a/c</t>
  </si>
  <si>
    <t xml:space="preserve">milk expenses a/c </t>
  </si>
  <si>
    <t>Rice expenses</t>
  </si>
  <si>
    <t>Furniture a/c</t>
  </si>
  <si>
    <t>Fish a/c</t>
  </si>
  <si>
    <t>Dairy products  a/c</t>
  </si>
  <si>
    <t>Dress a/c</t>
  </si>
  <si>
    <t>Bike EMI a/c</t>
  </si>
  <si>
    <t>In the book of income and expenditure account of Aravind varun  for the month ended june</t>
  </si>
  <si>
    <t xml:space="preserve">Expenditure </t>
  </si>
  <si>
    <t xml:space="preserve">Income </t>
  </si>
  <si>
    <t xml:space="preserve">By deficit </t>
  </si>
  <si>
    <t>To Petrol expenses a/c</t>
  </si>
  <si>
    <t xml:space="preserve">To vegetable expenses a/c </t>
  </si>
  <si>
    <t xml:space="preserve">To Groceries expenses a/c </t>
  </si>
  <si>
    <t xml:space="preserve">To mobile recharge expenses a/c </t>
  </si>
  <si>
    <t>To Laptop EMI  a/c</t>
  </si>
  <si>
    <t xml:space="preserve">To milk expenses a/c </t>
  </si>
  <si>
    <t>To Rice expenses</t>
  </si>
  <si>
    <t>To Furniture a/c</t>
  </si>
  <si>
    <t>To Fish a/c</t>
  </si>
  <si>
    <t>To Dairy products  a/c</t>
  </si>
  <si>
    <t>To Dress a/c</t>
  </si>
  <si>
    <t>To Bike EMI a/c</t>
  </si>
  <si>
    <t>In the book of balance sheet of Aravind varun for the month ended june</t>
  </si>
  <si>
    <t xml:space="preserve">Liabilities </t>
  </si>
  <si>
    <t>Assets</t>
  </si>
  <si>
    <t>Capital</t>
  </si>
  <si>
    <t xml:space="preserve">Cash </t>
  </si>
  <si>
    <r>
      <t xml:space="preserve">    </t>
    </r>
    <r>
      <rPr>
        <b/>
        <sz val="11"/>
        <color theme="1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 xml:space="preserve"> : Deficit </t>
    </r>
  </si>
  <si>
    <t xml:space="preserve">Bank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</si>
</sst>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2" borderId="3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1" fillId="0" borderId="0" xfId="0" applyFont="1"/>
    <xf numFmtId="3" fontId="0" fillId="0" borderId="0" xfId="0" applyNumberForma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A80E-251D-403A-BD22-8456897094B6}">
  <dimension ref="A1:B36"/>
  <sheetViews>
    <sheetView topLeftCell="A16" workbookViewId="0">
      <selection activeCell="B36" sqref="B36"/>
    </sheetView>
  </sheetViews>
  <sheetFormatPr defaultRowHeight="14.5" x14ac:dyDescent="0.35"/>
  <cols>
    <col min="1" max="1" width="10.90625" customWidth="1"/>
    <col min="2" max="2" width="33.08984375" customWidth="1"/>
  </cols>
  <sheetData>
    <row r="1" spans="1:2" x14ac:dyDescent="0.35">
      <c r="A1" s="25" t="s">
        <v>0</v>
      </c>
      <c r="B1" s="25"/>
    </row>
    <row r="2" spans="1:2" x14ac:dyDescent="0.35">
      <c r="A2" s="1"/>
      <c r="B2" s="1"/>
    </row>
    <row r="3" spans="1:2" x14ac:dyDescent="0.35">
      <c r="A3" s="1" t="s">
        <v>1</v>
      </c>
      <c r="B3" s="1" t="s">
        <v>2</v>
      </c>
    </row>
    <row r="4" spans="1:2" x14ac:dyDescent="0.35">
      <c r="A4" s="1" t="s">
        <v>3</v>
      </c>
      <c r="B4" s="1" t="s">
        <v>4</v>
      </c>
    </row>
    <row r="5" spans="1:2" x14ac:dyDescent="0.35">
      <c r="A5" s="1" t="s">
        <v>5</v>
      </c>
      <c r="B5" s="1" t="s">
        <v>6</v>
      </c>
    </row>
    <row r="6" spans="1:2" x14ac:dyDescent="0.35">
      <c r="A6" s="1" t="s">
        <v>7</v>
      </c>
      <c r="B6" s="1" t="s">
        <v>8</v>
      </c>
    </row>
    <row r="7" spans="1:2" x14ac:dyDescent="0.35">
      <c r="A7" s="1" t="s">
        <v>9</v>
      </c>
      <c r="B7" s="1" t="s">
        <v>10</v>
      </c>
    </row>
    <row r="8" spans="1:2" x14ac:dyDescent="0.35">
      <c r="A8" s="1" t="s">
        <v>11</v>
      </c>
      <c r="B8" s="1" t="s">
        <v>12</v>
      </c>
    </row>
    <row r="9" spans="1:2" x14ac:dyDescent="0.35">
      <c r="A9" s="1" t="s">
        <v>13</v>
      </c>
      <c r="B9" s="1" t="s">
        <v>14</v>
      </c>
    </row>
    <row r="11" spans="1:2" x14ac:dyDescent="0.35">
      <c r="A11" s="25" t="s">
        <v>15</v>
      </c>
      <c r="B11" s="25"/>
    </row>
    <row r="12" spans="1:2" x14ac:dyDescent="0.35">
      <c r="A12" s="1" t="s">
        <v>16</v>
      </c>
      <c r="B12" s="1" t="s">
        <v>17</v>
      </c>
    </row>
    <row r="13" spans="1:2" x14ac:dyDescent="0.35">
      <c r="A13" s="1" t="s">
        <v>18</v>
      </c>
      <c r="B13" s="1" t="s">
        <v>19</v>
      </c>
    </row>
    <row r="14" spans="1:2" x14ac:dyDescent="0.35">
      <c r="A14" s="1" t="s">
        <v>20</v>
      </c>
      <c r="B14" s="1" t="s">
        <v>21</v>
      </c>
    </row>
    <row r="15" spans="1:2" x14ac:dyDescent="0.35">
      <c r="A15" s="1" t="s">
        <v>22</v>
      </c>
      <c r="B15" s="1" t="s">
        <v>23</v>
      </c>
    </row>
    <row r="16" spans="1:2" x14ac:dyDescent="0.35">
      <c r="A16" s="1" t="s">
        <v>24</v>
      </c>
      <c r="B16" s="1" t="s">
        <v>25</v>
      </c>
    </row>
    <row r="17" spans="1:2" x14ac:dyDescent="0.35">
      <c r="A17" s="1" t="s">
        <v>26</v>
      </c>
      <c r="B17" s="1" t="s">
        <v>10</v>
      </c>
    </row>
    <row r="18" spans="1:2" x14ac:dyDescent="0.35">
      <c r="A18" s="1" t="s">
        <v>27</v>
      </c>
      <c r="B18" s="1" t="s">
        <v>14</v>
      </c>
    </row>
    <row r="20" spans="1:2" x14ac:dyDescent="0.35">
      <c r="A20" s="25" t="s">
        <v>28</v>
      </c>
      <c r="B20" s="25"/>
    </row>
    <row r="21" spans="1:2" x14ac:dyDescent="0.35">
      <c r="A21" s="1" t="s">
        <v>29</v>
      </c>
      <c r="B21" s="1" t="s">
        <v>30</v>
      </c>
    </row>
    <row r="22" spans="1:2" x14ac:dyDescent="0.35">
      <c r="A22" s="1" t="s">
        <v>31</v>
      </c>
      <c r="B22" s="1" t="s">
        <v>8</v>
      </c>
    </row>
    <row r="23" spans="1:2" x14ac:dyDescent="0.35">
      <c r="A23" s="1" t="s">
        <v>32</v>
      </c>
      <c r="B23" s="1" t="s">
        <v>4</v>
      </c>
    </row>
    <row r="24" spans="1:2" x14ac:dyDescent="0.35">
      <c r="A24" s="1" t="s">
        <v>33</v>
      </c>
      <c r="B24" s="1" t="s">
        <v>34</v>
      </c>
    </row>
    <row r="25" spans="1:2" x14ac:dyDescent="0.35">
      <c r="A25" s="1" t="s">
        <v>35</v>
      </c>
      <c r="B25" s="1" t="s">
        <v>36</v>
      </c>
    </row>
    <row r="26" spans="1:2" x14ac:dyDescent="0.35">
      <c r="A26" s="1" t="s">
        <v>37</v>
      </c>
      <c r="B26" s="1" t="s">
        <v>38</v>
      </c>
    </row>
    <row r="27" spans="1:2" x14ac:dyDescent="0.35">
      <c r="A27" s="1" t="s">
        <v>39</v>
      </c>
      <c r="B27" s="1" t="s">
        <v>40</v>
      </c>
    </row>
    <row r="29" spans="1:2" x14ac:dyDescent="0.35">
      <c r="A29" s="24" t="s">
        <v>41</v>
      </c>
      <c r="B29" s="24"/>
    </row>
    <row r="30" spans="1:2" x14ac:dyDescent="0.35">
      <c r="A30" s="1" t="s">
        <v>42</v>
      </c>
      <c r="B30" s="1" t="s">
        <v>8</v>
      </c>
    </row>
    <row r="31" spans="1:2" x14ac:dyDescent="0.35">
      <c r="A31" s="1" t="s">
        <v>43</v>
      </c>
      <c r="B31" s="1" t="s">
        <v>30</v>
      </c>
    </row>
    <row r="32" spans="1:2" x14ac:dyDescent="0.35">
      <c r="A32" s="1" t="s">
        <v>44</v>
      </c>
      <c r="B32" s="1" t="s">
        <v>4</v>
      </c>
    </row>
    <row r="33" spans="1:2" x14ac:dyDescent="0.35">
      <c r="A33" s="1" t="s">
        <v>45</v>
      </c>
      <c r="B33" s="1" t="s">
        <v>10</v>
      </c>
    </row>
    <row r="34" spans="1:2" x14ac:dyDescent="0.35">
      <c r="A34" s="1" t="s">
        <v>46</v>
      </c>
      <c r="B34" s="1" t="s">
        <v>19</v>
      </c>
    </row>
    <row r="35" spans="1:2" x14ac:dyDescent="0.35">
      <c r="A35" s="1" t="s">
        <v>47</v>
      </c>
      <c r="B35" s="2" t="s">
        <v>49</v>
      </c>
    </row>
    <row r="36" spans="1:2" x14ac:dyDescent="0.35">
      <c r="A36" s="1" t="s">
        <v>48</v>
      </c>
      <c r="B36" s="1" t="s">
        <v>14</v>
      </c>
    </row>
  </sheetData>
  <mergeCells count="4">
    <mergeCell ref="A1:B1"/>
    <mergeCell ref="A11:B11"/>
    <mergeCell ref="A20:B20"/>
    <mergeCell ref="A29:B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16CD-43A5-4D69-91AC-1E842CA6D8BB}">
  <dimension ref="A3:F94"/>
  <sheetViews>
    <sheetView topLeftCell="A85" workbookViewId="0">
      <selection activeCell="A88" sqref="A88"/>
    </sheetView>
  </sheetViews>
  <sheetFormatPr defaultRowHeight="14.5" x14ac:dyDescent="0.35"/>
  <cols>
    <col min="1" max="1" width="11.54296875" customWidth="1"/>
    <col min="2" max="2" width="36.26953125" customWidth="1"/>
    <col min="3" max="3" width="5.08984375" customWidth="1"/>
    <col min="4" max="4" width="5.54296875" customWidth="1"/>
    <col min="5" max="5" width="12.54296875" customWidth="1"/>
    <col min="6" max="6" width="13.08984375" customWidth="1"/>
  </cols>
  <sheetData>
    <row r="3" spans="1:6" ht="14.5" customHeight="1" x14ac:dyDescent="0.35">
      <c r="A3" s="7" t="s">
        <v>50</v>
      </c>
      <c r="B3" s="7" t="s">
        <v>51</v>
      </c>
      <c r="C3" s="7"/>
      <c r="D3" s="7" t="s">
        <v>52</v>
      </c>
      <c r="E3" s="7" t="s">
        <v>53</v>
      </c>
      <c r="F3" s="7" t="s">
        <v>54</v>
      </c>
    </row>
    <row r="4" spans="1:6" x14ac:dyDescent="0.35">
      <c r="A4" s="3" t="s">
        <v>1</v>
      </c>
      <c r="B4" s="3" t="s">
        <v>55</v>
      </c>
      <c r="C4" s="3" t="s">
        <v>56</v>
      </c>
      <c r="D4" s="3"/>
      <c r="E4" s="4">
        <v>40000</v>
      </c>
      <c r="F4" s="3"/>
    </row>
    <row r="5" spans="1:6" ht="16" customHeight="1" x14ac:dyDescent="0.35">
      <c r="A5" s="3"/>
      <c r="B5" s="3" t="s">
        <v>57</v>
      </c>
      <c r="C5" s="3"/>
      <c r="D5" s="3"/>
      <c r="E5" s="3"/>
      <c r="F5" s="4">
        <v>40000</v>
      </c>
    </row>
    <row r="6" spans="1:6" x14ac:dyDescent="0.35">
      <c r="A6" s="3"/>
      <c r="B6" s="1" t="s">
        <v>58</v>
      </c>
      <c r="C6" s="5"/>
      <c r="D6" s="5"/>
      <c r="E6" s="3"/>
      <c r="F6" s="3"/>
    </row>
    <row r="7" spans="1:6" x14ac:dyDescent="0.35">
      <c r="A7" s="3" t="s">
        <v>3</v>
      </c>
      <c r="B7" s="3" t="s">
        <v>59</v>
      </c>
      <c r="C7" s="3" t="s">
        <v>56</v>
      </c>
      <c r="D7" s="3"/>
      <c r="E7" s="3">
        <v>200</v>
      </c>
      <c r="F7" s="3"/>
    </row>
    <row r="8" spans="1:6" x14ac:dyDescent="0.35">
      <c r="A8" s="3"/>
      <c r="B8" s="3" t="s">
        <v>60</v>
      </c>
      <c r="C8" s="3"/>
      <c r="D8" s="3"/>
      <c r="E8" s="3"/>
      <c r="F8" s="3">
        <v>200</v>
      </c>
    </row>
    <row r="9" spans="1:6" x14ac:dyDescent="0.35">
      <c r="A9" s="3"/>
      <c r="B9" s="1" t="s">
        <v>61</v>
      </c>
      <c r="C9" s="5"/>
      <c r="D9" s="5"/>
      <c r="E9" s="3"/>
      <c r="F9" s="3"/>
    </row>
    <row r="10" spans="1:6" x14ac:dyDescent="0.35">
      <c r="A10" s="3" t="s">
        <v>5</v>
      </c>
      <c r="B10" s="3" t="s">
        <v>62</v>
      </c>
      <c r="C10" s="3" t="s">
        <v>56</v>
      </c>
      <c r="D10" s="3"/>
      <c r="E10" s="4">
        <v>1000</v>
      </c>
      <c r="F10" s="3"/>
    </row>
    <row r="11" spans="1:6" x14ac:dyDescent="0.35">
      <c r="A11" s="3"/>
      <c r="B11" s="3" t="s">
        <v>60</v>
      </c>
      <c r="C11" s="3"/>
      <c r="D11" s="3"/>
      <c r="E11" s="3"/>
      <c r="F11" s="4">
        <v>1000</v>
      </c>
    </row>
    <row r="12" spans="1:6" x14ac:dyDescent="0.35">
      <c r="A12" s="3"/>
      <c r="B12" s="1" t="s">
        <v>63</v>
      </c>
      <c r="C12" s="5"/>
      <c r="D12" s="5"/>
      <c r="E12" s="3"/>
      <c r="F12" s="3"/>
    </row>
    <row r="13" spans="1:6" x14ac:dyDescent="0.35">
      <c r="A13" s="3" t="s">
        <v>7</v>
      </c>
      <c r="B13" s="3" t="s">
        <v>64</v>
      </c>
      <c r="C13" s="3" t="s">
        <v>56</v>
      </c>
      <c r="D13" s="3"/>
      <c r="E13" s="3">
        <v>500</v>
      </c>
      <c r="F13" s="3"/>
    </row>
    <row r="14" spans="1:6" x14ac:dyDescent="0.35">
      <c r="A14" s="3"/>
      <c r="B14" s="3" t="s">
        <v>60</v>
      </c>
      <c r="C14" s="3"/>
      <c r="D14" s="3"/>
      <c r="E14" s="3"/>
      <c r="F14" s="3">
        <v>500</v>
      </c>
    </row>
    <row r="15" spans="1:6" x14ac:dyDescent="0.35">
      <c r="A15" s="3"/>
      <c r="B15" s="1" t="s">
        <v>65</v>
      </c>
      <c r="C15" s="5"/>
      <c r="D15" s="5"/>
      <c r="E15" s="3"/>
      <c r="F15" s="3"/>
    </row>
    <row r="16" spans="1:6" x14ac:dyDescent="0.35">
      <c r="A16" s="3" t="s">
        <v>9</v>
      </c>
      <c r="B16" s="3" t="s">
        <v>66</v>
      </c>
      <c r="C16" s="3" t="s">
        <v>56</v>
      </c>
      <c r="D16" s="3"/>
      <c r="E16" s="3">
        <v>350</v>
      </c>
      <c r="F16" s="3"/>
    </row>
    <row r="17" spans="1:6" x14ac:dyDescent="0.35">
      <c r="A17" s="3"/>
      <c r="B17" s="3" t="s">
        <v>60</v>
      </c>
      <c r="C17" s="3"/>
      <c r="D17" s="3"/>
      <c r="E17" s="3"/>
      <c r="F17" s="3">
        <v>350</v>
      </c>
    </row>
    <row r="18" spans="1:6" x14ac:dyDescent="0.35">
      <c r="A18" s="3"/>
      <c r="B18" s="1" t="s">
        <v>67</v>
      </c>
      <c r="C18" s="5"/>
      <c r="D18" s="5"/>
      <c r="E18" s="3"/>
      <c r="F18" s="3"/>
    </row>
    <row r="19" spans="1:6" x14ac:dyDescent="0.35">
      <c r="A19" s="3" t="s">
        <v>11</v>
      </c>
      <c r="B19" s="3" t="s">
        <v>68</v>
      </c>
      <c r="C19" s="3" t="s">
        <v>56</v>
      </c>
      <c r="D19" s="3"/>
      <c r="E19" s="4">
        <v>9000</v>
      </c>
      <c r="F19" s="3"/>
    </row>
    <row r="20" spans="1:6" x14ac:dyDescent="0.35">
      <c r="A20" s="3"/>
      <c r="B20" s="3" t="s">
        <v>69</v>
      </c>
      <c r="C20" s="3"/>
      <c r="D20" s="3"/>
      <c r="E20" s="3"/>
      <c r="F20" s="4">
        <v>9000</v>
      </c>
    </row>
    <row r="21" spans="1:6" x14ac:dyDescent="0.35">
      <c r="A21" s="3"/>
      <c r="B21" s="1" t="s">
        <v>70</v>
      </c>
      <c r="C21" s="5"/>
      <c r="D21" s="5"/>
      <c r="E21" s="3"/>
      <c r="F21" s="3"/>
    </row>
    <row r="22" spans="1:6" x14ac:dyDescent="0.35">
      <c r="A22" s="3" t="s">
        <v>13</v>
      </c>
      <c r="B22" s="3" t="s">
        <v>59</v>
      </c>
      <c r="C22" s="3" t="s">
        <v>56</v>
      </c>
      <c r="D22" s="3"/>
      <c r="E22" s="3">
        <v>150</v>
      </c>
      <c r="F22" s="3"/>
    </row>
    <row r="23" spans="1:6" x14ac:dyDescent="0.35">
      <c r="A23" s="3"/>
      <c r="B23" s="3" t="s">
        <v>60</v>
      </c>
      <c r="C23" s="3"/>
      <c r="D23" s="3"/>
      <c r="E23" s="3"/>
      <c r="F23" s="3">
        <v>150</v>
      </c>
    </row>
    <row r="24" spans="1:6" x14ac:dyDescent="0.35">
      <c r="A24" s="3"/>
      <c r="B24" s="1" t="s">
        <v>71</v>
      </c>
      <c r="C24" s="5"/>
      <c r="D24" s="5"/>
      <c r="E24" s="1"/>
      <c r="F24" s="1"/>
    </row>
    <row r="25" spans="1:6" ht="15.5" customHeight="1" x14ac:dyDescent="0.35">
      <c r="A25" s="3" t="s">
        <v>72</v>
      </c>
      <c r="B25" s="3" t="s">
        <v>73</v>
      </c>
      <c r="C25" s="3" t="s">
        <v>56</v>
      </c>
      <c r="D25" s="1"/>
      <c r="E25" s="4">
        <v>10000</v>
      </c>
      <c r="F25" s="3"/>
    </row>
    <row r="26" spans="1:6" x14ac:dyDescent="0.35">
      <c r="A26" s="3"/>
      <c r="B26" s="3" t="s">
        <v>69</v>
      </c>
      <c r="C26" s="3"/>
      <c r="D26" s="1"/>
      <c r="E26" s="3"/>
      <c r="F26" s="4">
        <v>10000</v>
      </c>
    </row>
    <row r="27" spans="1:6" x14ac:dyDescent="0.35">
      <c r="A27" s="3"/>
      <c r="B27" s="5" t="s">
        <v>74</v>
      </c>
      <c r="C27" s="3"/>
      <c r="D27" s="1"/>
      <c r="E27" s="3"/>
      <c r="F27" s="3"/>
    </row>
    <row r="28" spans="1:6" x14ac:dyDescent="0.35">
      <c r="A28" s="3" t="s">
        <v>75</v>
      </c>
      <c r="B28" s="3" t="s">
        <v>76</v>
      </c>
      <c r="C28" s="3" t="s">
        <v>56</v>
      </c>
      <c r="D28" s="1"/>
      <c r="E28" s="3">
        <v>200</v>
      </c>
      <c r="F28" s="3"/>
    </row>
    <row r="29" spans="1:6" x14ac:dyDescent="0.35">
      <c r="A29" s="3"/>
      <c r="B29" s="3" t="s">
        <v>60</v>
      </c>
      <c r="C29" s="3"/>
      <c r="D29" s="1"/>
      <c r="E29" s="3"/>
      <c r="F29" s="3">
        <v>200</v>
      </c>
    </row>
    <row r="30" spans="1:6" x14ac:dyDescent="0.35">
      <c r="A30" s="3"/>
      <c r="B30" s="5" t="s">
        <v>77</v>
      </c>
      <c r="C30" s="3"/>
      <c r="D30" s="1"/>
      <c r="E30" s="3"/>
      <c r="F30" s="3"/>
    </row>
    <row r="31" spans="1:6" x14ac:dyDescent="0.35">
      <c r="A31" s="3" t="s">
        <v>78</v>
      </c>
      <c r="B31" s="3" t="s">
        <v>59</v>
      </c>
      <c r="C31" s="3" t="s">
        <v>56</v>
      </c>
      <c r="D31" s="1"/>
      <c r="E31" s="3">
        <v>200</v>
      </c>
      <c r="F31" s="3"/>
    </row>
    <row r="32" spans="1:6" x14ac:dyDescent="0.35">
      <c r="A32" s="3"/>
      <c r="B32" s="3" t="s">
        <v>60</v>
      </c>
      <c r="C32" s="3"/>
      <c r="D32" s="1"/>
      <c r="E32" s="3"/>
      <c r="F32" s="3">
        <v>200</v>
      </c>
    </row>
    <row r="33" spans="1:6" x14ac:dyDescent="0.35">
      <c r="A33" s="3"/>
      <c r="B33" s="5" t="s">
        <v>79</v>
      </c>
      <c r="C33" s="3"/>
      <c r="D33" s="1"/>
      <c r="E33" s="3"/>
      <c r="F33" s="3"/>
    </row>
    <row r="34" spans="1:6" ht="16" customHeight="1" x14ac:dyDescent="0.35">
      <c r="A34" s="3" t="s">
        <v>80</v>
      </c>
      <c r="B34" s="3" t="s">
        <v>62</v>
      </c>
      <c r="C34" s="3" t="s">
        <v>56</v>
      </c>
      <c r="D34" s="1"/>
      <c r="E34" s="3">
        <v>400</v>
      </c>
      <c r="F34" s="3"/>
    </row>
    <row r="35" spans="1:6" x14ac:dyDescent="0.35">
      <c r="A35" s="3"/>
      <c r="B35" s="3" t="s">
        <v>60</v>
      </c>
      <c r="C35" s="3"/>
      <c r="D35" s="1"/>
      <c r="E35" s="3"/>
      <c r="F35" s="3">
        <v>400</v>
      </c>
    </row>
    <row r="36" spans="1:6" x14ac:dyDescent="0.35">
      <c r="A36" s="3"/>
      <c r="B36" s="5" t="s">
        <v>81</v>
      </c>
      <c r="C36" s="3"/>
      <c r="D36" s="1"/>
      <c r="E36" s="3"/>
      <c r="F36" s="3"/>
    </row>
    <row r="37" spans="1:6" ht="16" customHeight="1" x14ac:dyDescent="0.35">
      <c r="A37" s="3" t="s">
        <v>82</v>
      </c>
      <c r="B37" s="3" t="s">
        <v>83</v>
      </c>
      <c r="C37" s="3" t="s">
        <v>56</v>
      </c>
      <c r="D37" s="1"/>
      <c r="E37" s="4">
        <v>1500</v>
      </c>
      <c r="F37" s="3"/>
    </row>
    <row r="38" spans="1:6" x14ac:dyDescent="0.35">
      <c r="A38" s="3"/>
      <c r="B38" s="3" t="s">
        <v>60</v>
      </c>
      <c r="C38" s="3"/>
      <c r="D38" s="1"/>
      <c r="E38" s="3"/>
      <c r="F38" s="4">
        <v>1500</v>
      </c>
    </row>
    <row r="39" spans="1:6" x14ac:dyDescent="0.35">
      <c r="A39" s="3"/>
      <c r="B39" s="5" t="s">
        <v>84</v>
      </c>
      <c r="C39" s="3"/>
      <c r="D39" s="1"/>
      <c r="E39" s="3"/>
      <c r="F39" s="3"/>
    </row>
    <row r="40" spans="1:6" x14ac:dyDescent="0.35">
      <c r="A40" s="3" t="s">
        <v>85</v>
      </c>
      <c r="B40" s="3" t="s">
        <v>66</v>
      </c>
      <c r="C40" s="3" t="s">
        <v>56</v>
      </c>
      <c r="D40" s="1"/>
      <c r="E40" s="3">
        <v>350</v>
      </c>
      <c r="F40" s="3"/>
    </row>
    <row r="41" spans="1:6" x14ac:dyDescent="0.35">
      <c r="A41" s="3"/>
      <c r="B41" s="3" t="s">
        <v>60</v>
      </c>
      <c r="C41" s="3"/>
      <c r="D41" s="1"/>
      <c r="E41" s="3"/>
      <c r="F41" s="3">
        <v>350</v>
      </c>
    </row>
    <row r="42" spans="1:6" x14ac:dyDescent="0.35">
      <c r="A42" s="3"/>
      <c r="B42" s="5" t="s">
        <v>86</v>
      </c>
      <c r="C42" s="3"/>
      <c r="D42" s="1"/>
      <c r="E42" s="3"/>
      <c r="F42" s="3"/>
    </row>
    <row r="43" spans="1:6" x14ac:dyDescent="0.35">
      <c r="A43" s="3" t="s">
        <v>87</v>
      </c>
      <c r="B43" s="3" t="s">
        <v>59</v>
      </c>
      <c r="C43" s="3" t="s">
        <v>56</v>
      </c>
      <c r="D43" s="1"/>
      <c r="E43" s="3">
        <v>150</v>
      </c>
      <c r="F43" s="3"/>
    </row>
    <row r="44" spans="1:6" x14ac:dyDescent="0.35">
      <c r="A44" s="3"/>
      <c r="B44" s="3" t="s">
        <v>60</v>
      </c>
      <c r="C44" s="3"/>
      <c r="D44" s="3"/>
      <c r="E44" s="3"/>
      <c r="F44" s="3">
        <v>150</v>
      </c>
    </row>
    <row r="45" spans="1:6" x14ac:dyDescent="0.35">
      <c r="A45" s="3"/>
      <c r="B45" s="5" t="s">
        <v>79</v>
      </c>
      <c r="C45" s="3"/>
      <c r="D45" s="3"/>
      <c r="E45" s="3"/>
      <c r="F45" s="1"/>
    </row>
    <row r="46" spans="1:6" ht="16" customHeight="1" x14ac:dyDescent="0.35">
      <c r="A46" s="3" t="s">
        <v>88</v>
      </c>
      <c r="B46" s="3" t="s">
        <v>62</v>
      </c>
      <c r="C46" s="3" t="s">
        <v>56</v>
      </c>
      <c r="D46" s="1"/>
      <c r="E46" s="3">
        <v>500</v>
      </c>
      <c r="F46" s="3"/>
    </row>
    <row r="47" spans="1:6" x14ac:dyDescent="0.35">
      <c r="A47" s="3"/>
      <c r="B47" s="3" t="s">
        <v>60</v>
      </c>
      <c r="C47" s="3"/>
      <c r="D47" s="1"/>
      <c r="E47" s="3"/>
      <c r="F47" s="3">
        <v>500</v>
      </c>
    </row>
    <row r="48" spans="1:6" x14ac:dyDescent="0.35">
      <c r="A48" s="3"/>
      <c r="B48" s="3" t="s">
        <v>81</v>
      </c>
      <c r="C48" s="3"/>
      <c r="D48" s="1"/>
      <c r="E48" s="3"/>
      <c r="F48" s="3"/>
    </row>
    <row r="49" spans="1:6" ht="14.5" customHeight="1" x14ac:dyDescent="0.35">
      <c r="A49" s="3" t="s">
        <v>89</v>
      </c>
      <c r="B49" s="3" t="s">
        <v>64</v>
      </c>
      <c r="C49" s="3" t="s">
        <v>56</v>
      </c>
      <c r="D49" s="1"/>
      <c r="E49" s="3">
        <v>500</v>
      </c>
      <c r="F49" s="3"/>
    </row>
    <row r="50" spans="1:6" x14ac:dyDescent="0.35">
      <c r="A50" s="3"/>
      <c r="B50" s="3" t="s">
        <v>60</v>
      </c>
      <c r="C50" s="3"/>
      <c r="D50" s="1"/>
      <c r="E50" s="3"/>
      <c r="F50" s="3">
        <v>500</v>
      </c>
    </row>
    <row r="51" spans="1:6" x14ac:dyDescent="0.35">
      <c r="A51" s="3"/>
      <c r="B51" s="3" t="s">
        <v>90</v>
      </c>
      <c r="C51" s="3"/>
      <c r="D51" s="1"/>
      <c r="E51" s="3"/>
      <c r="F51" s="3"/>
    </row>
    <row r="52" spans="1:6" x14ac:dyDescent="0.35">
      <c r="A52" s="3" t="s">
        <v>91</v>
      </c>
      <c r="B52" s="3" t="s">
        <v>59</v>
      </c>
      <c r="C52" s="3" t="s">
        <v>56</v>
      </c>
      <c r="D52" s="1"/>
      <c r="E52" s="3">
        <v>200</v>
      </c>
      <c r="F52" s="3"/>
    </row>
    <row r="53" spans="1:6" x14ac:dyDescent="0.35">
      <c r="A53" s="3"/>
      <c r="B53" s="3" t="s">
        <v>60</v>
      </c>
      <c r="C53" s="3"/>
      <c r="D53" s="1"/>
      <c r="E53" s="3"/>
      <c r="F53" s="3">
        <v>200</v>
      </c>
    </row>
    <row r="54" spans="1:6" x14ac:dyDescent="0.35">
      <c r="A54" s="3"/>
      <c r="B54" s="3" t="s">
        <v>79</v>
      </c>
      <c r="C54" s="3"/>
      <c r="D54" s="1"/>
      <c r="E54" s="3"/>
      <c r="F54" s="3"/>
    </row>
    <row r="55" spans="1:6" ht="15.5" customHeight="1" x14ac:dyDescent="0.35">
      <c r="A55" s="3" t="s">
        <v>92</v>
      </c>
      <c r="B55" s="3" t="s">
        <v>93</v>
      </c>
      <c r="C55" s="3" t="s">
        <v>56</v>
      </c>
      <c r="D55" s="1"/>
      <c r="E55" s="3">
        <v>800</v>
      </c>
      <c r="F55" s="3"/>
    </row>
    <row r="56" spans="1:6" x14ac:dyDescent="0.35">
      <c r="A56" s="3"/>
      <c r="B56" s="3" t="s">
        <v>60</v>
      </c>
      <c r="C56" s="3"/>
      <c r="D56" s="1"/>
      <c r="E56" s="3"/>
      <c r="F56" s="3">
        <v>800</v>
      </c>
    </row>
    <row r="57" spans="1:6" x14ac:dyDescent="0.35">
      <c r="A57" s="3"/>
      <c r="B57" s="3" t="s">
        <v>94</v>
      </c>
      <c r="C57" s="3"/>
      <c r="D57" s="1"/>
      <c r="E57" s="3"/>
      <c r="F57" s="3"/>
    </row>
    <row r="58" spans="1:6" x14ac:dyDescent="0.35">
      <c r="A58" s="3" t="s">
        <v>95</v>
      </c>
      <c r="B58" s="3" t="s">
        <v>96</v>
      </c>
      <c r="C58" s="3" t="s">
        <v>56</v>
      </c>
      <c r="D58" s="1"/>
      <c r="E58" s="3">
        <v>300</v>
      </c>
      <c r="F58" s="3"/>
    </row>
    <row r="59" spans="1:6" x14ac:dyDescent="0.35">
      <c r="A59" s="3"/>
      <c r="B59" s="3" t="s">
        <v>60</v>
      </c>
      <c r="C59" s="3"/>
      <c r="D59" s="1"/>
      <c r="E59" s="3"/>
      <c r="F59" s="3">
        <v>300</v>
      </c>
    </row>
    <row r="60" spans="1:6" x14ac:dyDescent="0.35">
      <c r="A60" s="3"/>
      <c r="B60" s="3" t="s">
        <v>97</v>
      </c>
      <c r="C60" s="3"/>
      <c r="D60" s="1"/>
      <c r="E60" s="3"/>
      <c r="F60" s="3"/>
    </row>
    <row r="61" spans="1:6" ht="17" customHeight="1" x14ac:dyDescent="0.35">
      <c r="A61" s="3" t="s">
        <v>98</v>
      </c>
      <c r="B61" s="3" t="s">
        <v>99</v>
      </c>
      <c r="C61" s="3" t="s">
        <v>56</v>
      </c>
      <c r="D61" s="1"/>
      <c r="E61" s="3">
        <v>500</v>
      </c>
      <c r="F61" s="3"/>
    </row>
    <row r="62" spans="1:6" x14ac:dyDescent="0.35">
      <c r="A62" s="3"/>
      <c r="B62" s="3" t="s">
        <v>60</v>
      </c>
      <c r="C62" s="3"/>
      <c r="D62" s="1"/>
      <c r="E62" s="3"/>
      <c r="F62" s="3">
        <v>500</v>
      </c>
    </row>
    <row r="63" spans="1:6" x14ac:dyDescent="0.35">
      <c r="A63" s="3"/>
      <c r="B63" s="3" t="s">
        <v>100</v>
      </c>
      <c r="C63" s="3"/>
      <c r="D63" s="1"/>
      <c r="E63" s="3"/>
      <c r="F63" s="3"/>
    </row>
    <row r="64" spans="1:6" ht="14.5" customHeight="1" x14ac:dyDescent="0.35">
      <c r="A64" s="3" t="s">
        <v>101</v>
      </c>
      <c r="B64" s="3" t="s">
        <v>102</v>
      </c>
      <c r="C64" s="3" t="s">
        <v>56</v>
      </c>
      <c r="D64" s="1"/>
      <c r="E64" s="4">
        <v>1000</v>
      </c>
      <c r="F64" s="3"/>
    </row>
    <row r="65" spans="1:6" x14ac:dyDescent="0.35">
      <c r="A65" s="3"/>
      <c r="B65" s="3" t="s">
        <v>60</v>
      </c>
      <c r="C65" s="3"/>
      <c r="D65" s="1"/>
      <c r="E65" s="3"/>
      <c r="F65" s="4">
        <v>1000</v>
      </c>
    </row>
    <row r="66" spans="1:6" x14ac:dyDescent="0.35">
      <c r="A66" s="3"/>
      <c r="B66" s="3" t="s">
        <v>103</v>
      </c>
      <c r="C66" s="3"/>
      <c r="D66" s="1"/>
      <c r="E66" s="3"/>
      <c r="F66" s="3"/>
    </row>
    <row r="67" spans="1:6" x14ac:dyDescent="0.35">
      <c r="A67" s="3" t="s">
        <v>104</v>
      </c>
      <c r="B67" s="3" t="s">
        <v>64</v>
      </c>
      <c r="C67" s="3" t="s">
        <v>56</v>
      </c>
      <c r="D67" s="3"/>
      <c r="E67" s="3">
        <v>500</v>
      </c>
      <c r="F67" s="1"/>
    </row>
    <row r="68" spans="1:6" x14ac:dyDescent="0.35">
      <c r="A68" s="3"/>
      <c r="B68" s="3" t="s">
        <v>60</v>
      </c>
      <c r="C68" s="3"/>
      <c r="D68" s="3"/>
      <c r="E68" s="3"/>
      <c r="F68" s="1">
        <v>500</v>
      </c>
    </row>
    <row r="69" spans="1:6" x14ac:dyDescent="0.35">
      <c r="A69" s="1"/>
      <c r="B69" s="1" t="s">
        <v>105</v>
      </c>
      <c r="C69" s="1"/>
      <c r="D69" s="1"/>
      <c r="E69" s="1"/>
      <c r="F69" s="1"/>
    </row>
    <row r="70" spans="1:6" x14ac:dyDescent="0.35">
      <c r="A70" s="1" t="s">
        <v>43</v>
      </c>
      <c r="B70" s="3" t="s">
        <v>62</v>
      </c>
      <c r="C70" s="3" t="s">
        <v>56</v>
      </c>
      <c r="D70" s="1"/>
      <c r="E70" s="3">
        <v>500</v>
      </c>
      <c r="F70" s="1"/>
    </row>
    <row r="71" spans="1:6" x14ac:dyDescent="0.35">
      <c r="A71" s="1"/>
      <c r="B71" s="3" t="s">
        <v>60</v>
      </c>
      <c r="C71" s="1"/>
      <c r="D71" s="3"/>
      <c r="E71" s="3"/>
      <c r="F71" s="3">
        <v>500</v>
      </c>
    </row>
    <row r="72" spans="1:6" x14ac:dyDescent="0.35">
      <c r="A72" s="1"/>
      <c r="B72" s="1" t="s">
        <v>106</v>
      </c>
      <c r="C72" s="1"/>
      <c r="D72" s="1"/>
      <c r="E72" s="1"/>
      <c r="F72" s="1"/>
    </row>
    <row r="73" spans="1:6" x14ac:dyDescent="0.35">
      <c r="A73" s="3" t="s">
        <v>107</v>
      </c>
      <c r="B73" s="3" t="s">
        <v>59</v>
      </c>
      <c r="C73" s="3" t="s">
        <v>56</v>
      </c>
      <c r="D73" s="1"/>
      <c r="E73" s="3">
        <v>200</v>
      </c>
      <c r="F73" s="1"/>
    </row>
    <row r="74" spans="1:6" x14ac:dyDescent="0.35">
      <c r="A74" s="3"/>
      <c r="B74" s="3" t="s">
        <v>60</v>
      </c>
      <c r="C74" s="3"/>
      <c r="D74" s="3"/>
      <c r="E74" s="1"/>
      <c r="F74" s="3">
        <v>200</v>
      </c>
    </row>
    <row r="75" spans="1:6" x14ac:dyDescent="0.35">
      <c r="A75" s="1"/>
      <c r="B75" s="1" t="s">
        <v>108</v>
      </c>
      <c r="C75" s="1"/>
      <c r="D75" s="1"/>
      <c r="E75" s="1"/>
      <c r="F75" s="1"/>
    </row>
    <row r="76" spans="1:6" x14ac:dyDescent="0.35">
      <c r="A76" s="3" t="s">
        <v>109</v>
      </c>
      <c r="B76" s="3" t="s">
        <v>66</v>
      </c>
      <c r="C76" s="3" t="s">
        <v>56</v>
      </c>
      <c r="D76" s="1"/>
      <c r="E76" s="3">
        <v>350</v>
      </c>
      <c r="F76" s="3"/>
    </row>
    <row r="77" spans="1:6" x14ac:dyDescent="0.35">
      <c r="A77" s="3"/>
      <c r="B77" s="3" t="s">
        <v>60</v>
      </c>
      <c r="C77" s="3"/>
      <c r="D77" s="1"/>
      <c r="E77" s="3"/>
      <c r="F77" s="3">
        <v>350</v>
      </c>
    </row>
    <row r="78" spans="1:6" x14ac:dyDescent="0.35">
      <c r="A78" s="1"/>
      <c r="B78" s="1" t="s">
        <v>110</v>
      </c>
      <c r="C78" s="1"/>
      <c r="D78" s="1"/>
      <c r="E78" s="1"/>
      <c r="F78" s="1"/>
    </row>
    <row r="79" spans="1:6" x14ac:dyDescent="0.35">
      <c r="A79" s="3" t="s">
        <v>111</v>
      </c>
      <c r="B79" s="3" t="s">
        <v>76</v>
      </c>
      <c r="C79" s="3" t="s">
        <v>56</v>
      </c>
      <c r="D79" s="1"/>
      <c r="E79" s="3">
        <v>500</v>
      </c>
      <c r="F79" s="3"/>
    </row>
    <row r="80" spans="1:6" x14ac:dyDescent="0.35">
      <c r="A80" s="3"/>
      <c r="B80" s="3" t="s">
        <v>60</v>
      </c>
      <c r="C80" s="3"/>
      <c r="D80" s="1"/>
      <c r="E80" s="3"/>
      <c r="F80" s="3">
        <v>500</v>
      </c>
    </row>
    <row r="81" spans="1:6" x14ac:dyDescent="0.35">
      <c r="A81" s="1"/>
      <c r="B81" s="1" t="s">
        <v>112</v>
      </c>
      <c r="C81" s="1"/>
      <c r="D81" s="1"/>
      <c r="E81" s="1"/>
      <c r="F81" s="1"/>
    </row>
    <row r="82" spans="1:6" x14ac:dyDescent="0.35">
      <c r="A82" s="3" t="s">
        <v>113</v>
      </c>
      <c r="B82" s="3" t="s">
        <v>115</v>
      </c>
      <c r="C82" s="3" t="s">
        <v>56</v>
      </c>
      <c r="D82" s="1"/>
      <c r="E82" s="4">
        <v>5000</v>
      </c>
      <c r="F82" s="3"/>
    </row>
    <row r="83" spans="1:6" x14ac:dyDescent="0.35">
      <c r="A83" s="3"/>
      <c r="B83" s="3" t="s">
        <v>60</v>
      </c>
      <c r="C83" s="3"/>
      <c r="D83" s="1"/>
      <c r="E83" s="3"/>
      <c r="F83" s="4">
        <v>5000</v>
      </c>
    </row>
    <row r="84" spans="1:6" x14ac:dyDescent="0.35">
      <c r="A84" s="3"/>
      <c r="B84" s="1" t="s">
        <v>116</v>
      </c>
      <c r="C84" s="3"/>
      <c r="D84" s="1"/>
      <c r="E84" s="3"/>
      <c r="F84" s="3"/>
    </row>
    <row r="85" spans="1:6" x14ac:dyDescent="0.35">
      <c r="A85" s="3" t="s">
        <v>114</v>
      </c>
      <c r="B85" s="3" t="s">
        <v>59</v>
      </c>
      <c r="C85" s="3" t="s">
        <v>56</v>
      </c>
      <c r="D85" s="1"/>
      <c r="E85" s="3">
        <v>150</v>
      </c>
      <c r="F85" s="3"/>
    </row>
    <row r="86" spans="1:6" x14ac:dyDescent="0.35">
      <c r="A86" s="3"/>
      <c r="B86" s="3" t="s">
        <v>60</v>
      </c>
      <c r="C86" s="3"/>
      <c r="D86" s="1"/>
      <c r="E86" s="3"/>
      <c r="F86" s="3">
        <v>150</v>
      </c>
    </row>
    <row r="87" spans="1:6" x14ac:dyDescent="0.35">
      <c r="A87" s="3"/>
      <c r="B87" s="1" t="s">
        <v>108</v>
      </c>
      <c r="C87" s="3"/>
      <c r="D87" s="3"/>
      <c r="E87" s="3"/>
      <c r="F87" s="1"/>
    </row>
    <row r="94" spans="1:6" x14ac:dyDescent="0.35">
      <c r="B94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3FDF-2878-475E-95A9-986AE9CE7A68}">
  <dimension ref="A1:K140"/>
  <sheetViews>
    <sheetView workbookViewId="0">
      <selection activeCell="J37" sqref="J37"/>
    </sheetView>
  </sheetViews>
  <sheetFormatPr defaultRowHeight="14.5" x14ac:dyDescent="0.35"/>
  <cols>
    <col min="1" max="1" width="11.81640625" customWidth="1"/>
    <col min="2" max="2" width="27.26953125" customWidth="1"/>
    <col min="3" max="3" width="4.90625" customWidth="1"/>
    <col min="4" max="4" width="11.26953125" customWidth="1"/>
    <col min="5" max="5" width="12.26953125" customWidth="1"/>
    <col min="6" max="6" width="33" customWidth="1"/>
    <col min="7" max="7" width="4.6328125" customWidth="1"/>
    <col min="8" max="8" width="11.36328125" customWidth="1"/>
  </cols>
  <sheetData>
    <row r="1" spans="1:10" ht="16" x14ac:dyDescent="0.4">
      <c r="A1" s="22" t="s">
        <v>117</v>
      </c>
      <c r="B1" s="22"/>
      <c r="C1" s="22"/>
      <c r="D1" s="22"/>
      <c r="E1" s="22"/>
      <c r="F1" s="22"/>
      <c r="G1" s="22"/>
      <c r="H1" s="22"/>
    </row>
    <row r="2" spans="1:10" ht="16" x14ac:dyDescent="0.4">
      <c r="A2" s="8"/>
      <c r="B2" s="8"/>
      <c r="C2" s="8"/>
      <c r="D2" s="8"/>
      <c r="E2" s="8"/>
      <c r="F2" s="8"/>
      <c r="G2" s="8"/>
      <c r="H2" s="8"/>
    </row>
    <row r="3" spans="1:10" ht="16" x14ac:dyDescent="0.4">
      <c r="A3" s="22" t="s">
        <v>118</v>
      </c>
      <c r="B3" s="22"/>
      <c r="C3" s="22"/>
      <c r="D3" s="22"/>
      <c r="E3" s="22"/>
      <c r="F3" s="22"/>
      <c r="G3" s="22"/>
      <c r="H3" s="22"/>
    </row>
    <row r="4" spans="1:10" x14ac:dyDescent="0.35">
      <c r="A4" s="9" t="s">
        <v>119</v>
      </c>
      <c r="B4" s="9" t="s">
        <v>120</v>
      </c>
      <c r="C4" s="9" t="s">
        <v>121</v>
      </c>
      <c r="D4" s="9" t="s">
        <v>122</v>
      </c>
      <c r="E4" s="9" t="s">
        <v>119</v>
      </c>
      <c r="F4" s="9" t="s">
        <v>123</v>
      </c>
      <c r="G4" s="9" t="s">
        <v>121</v>
      </c>
      <c r="H4" s="9" t="s">
        <v>122</v>
      </c>
    </row>
    <row r="5" spans="1:10" x14ac:dyDescent="0.35">
      <c r="A5" s="3" t="s">
        <v>16</v>
      </c>
      <c r="B5" s="1" t="s">
        <v>124</v>
      </c>
      <c r="C5" s="1"/>
      <c r="D5" s="10">
        <v>10000</v>
      </c>
      <c r="E5" s="3" t="s">
        <v>3</v>
      </c>
      <c r="F5" s="1" t="s">
        <v>125</v>
      </c>
      <c r="G5" s="1"/>
      <c r="H5" s="1">
        <v>200</v>
      </c>
    </row>
    <row r="6" spans="1:10" x14ac:dyDescent="0.35">
      <c r="A6" s="1"/>
      <c r="B6" s="1"/>
      <c r="C6" s="1"/>
      <c r="D6" s="1"/>
      <c r="E6" s="3" t="s">
        <v>5</v>
      </c>
      <c r="F6" s="1" t="s">
        <v>126</v>
      </c>
      <c r="G6" s="1"/>
      <c r="H6" s="1">
        <v>1000</v>
      </c>
    </row>
    <row r="7" spans="1:10" x14ac:dyDescent="0.35">
      <c r="A7" s="1"/>
      <c r="B7" s="1"/>
      <c r="C7" s="1"/>
      <c r="D7" s="1"/>
      <c r="E7" s="3" t="s">
        <v>7</v>
      </c>
      <c r="F7" s="1" t="s">
        <v>127</v>
      </c>
      <c r="G7" s="1"/>
      <c r="H7" s="1">
        <v>500</v>
      </c>
    </row>
    <row r="8" spans="1:10" x14ac:dyDescent="0.35">
      <c r="A8" s="1"/>
      <c r="B8" s="1"/>
      <c r="C8" s="1"/>
      <c r="D8" s="1"/>
      <c r="E8" s="3" t="s">
        <v>9</v>
      </c>
      <c r="F8" s="1" t="s">
        <v>128</v>
      </c>
      <c r="G8" s="1"/>
      <c r="H8" s="1">
        <v>350</v>
      </c>
    </row>
    <row r="9" spans="1:10" x14ac:dyDescent="0.35">
      <c r="A9" s="1"/>
      <c r="B9" s="1"/>
      <c r="C9" s="1"/>
      <c r="D9" s="1"/>
      <c r="E9" s="3" t="s">
        <v>13</v>
      </c>
      <c r="F9" s="1" t="s">
        <v>125</v>
      </c>
      <c r="G9" s="1"/>
      <c r="H9" s="1">
        <v>150</v>
      </c>
    </row>
    <row r="10" spans="1:10" x14ac:dyDescent="0.35">
      <c r="A10" s="1"/>
      <c r="B10" s="1"/>
      <c r="C10" s="1"/>
      <c r="D10" s="1"/>
      <c r="E10" s="3" t="s">
        <v>75</v>
      </c>
      <c r="F10" s="1" t="s">
        <v>129</v>
      </c>
      <c r="G10" s="1"/>
      <c r="H10" s="1">
        <v>200</v>
      </c>
    </row>
    <row r="11" spans="1:10" x14ac:dyDescent="0.35">
      <c r="A11" s="1"/>
      <c r="B11" s="1"/>
      <c r="C11" s="1"/>
      <c r="D11" s="1"/>
      <c r="E11" s="3" t="s">
        <v>78</v>
      </c>
      <c r="F11" s="1" t="s">
        <v>125</v>
      </c>
      <c r="G11" s="1"/>
      <c r="H11" s="1">
        <v>200</v>
      </c>
    </row>
    <row r="12" spans="1:10" x14ac:dyDescent="0.35">
      <c r="A12" s="1"/>
      <c r="B12" s="1"/>
      <c r="C12" s="1"/>
      <c r="D12" s="1"/>
      <c r="E12" s="3" t="s">
        <v>80</v>
      </c>
      <c r="F12" s="1" t="s">
        <v>130</v>
      </c>
      <c r="G12" s="1"/>
      <c r="H12" s="1">
        <v>400</v>
      </c>
      <c r="J12">
        <f>SUM(H5:H23)</f>
        <v>9300</v>
      </c>
    </row>
    <row r="13" spans="1:10" x14ac:dyDescent="0.35">
      <c r="A13" s="1"/>
      <c r="B13" s="1"/>
      <c r="C13" s="1"/>
      <c r="D13" s="1"/>
      <c r="E13" s="3" t="s">
        <v>82</v>
      </c>
      <c r="F13" s="1" t="s">
        <v>131</v>
      </c>
      <c r="G13" s="1"/>
      <c r="H13" s="1">
        <v>1500</v>
      </c>
    </row>
    <row r="14" spans="1:10" x14ac:dyDescent="0.35">
      <c r="A14" s="1"/>
      <c r="B14" s="1"/>
      <c r="C14" s="1"/>
      <c r="D14" s="1"/>
      <c r="E14" s="3" t="s">
        <v>85</v>
      </c>
      <c r="F14" s="3" t="s">
        <v>132</v>
      </c>
      <c r="G14" s="1"/>
      <c r="H14" s="1">
        <v>350</v>
      </c>
    </row>
    <row r="15" spans="1:10" x14ac:dyDescent="0.35">
      <c r="A15" s="1"/>
      <c r="B15" s="1"/>
      <c r="C15" s="1"/>
      <c r="D15" s="1"/>
      <c r="E15" s="3" t="s">
        <v>87</v>
      </c>
      <c r="F15" s="1" t="s">
        <v>125</v>
      </c>
      <c r="G15" s="1"/>
      <c r="H15" s="1">
        <v>150</v>
      </c>
      <c r="J15">
        <f>SUM(H5:H29)</f>
        <v>16000</v>
      </c>
    </row>
    <row r="16" spans="1:10" x14ac:dyDescent="0.35">
      <c r="A16" s="1"/>
      <c r="B16" s="1"/>
      <c r="C16" s="1"/>
      <c r="D16" s="1"/>
      <c r="E16" s="3" t="s">
        <v>88</v>
      </c>
      <c r="F16" s="3" t="s">
        <v>62</v>
      </c>
      <c r="G16" s="1"/>
      <c r="H16" s="1">
        <v>500</v>
      </c>
    </row>
    <row r="17" spans="1:8" x14ac:dyDescent="0.35">
      <c r="A17" s="1"/>
      <c r="B17" s="1"/>
      <c r="C17" s="1"/>
      <c r="D17" s="1"/>
      <c r="E17" s="3" t="s">
        <v>89</v>
      </c>
      <c r="F17" s="3" t="s">
        <v>64</v>
      </c>
      <c r="G17" s="1"/>
      <c r="H17" s="1">
        <v>500</v>
      </c>
    </row>
    <row r="18" spans="1:8" x14ac:dyDescent="0.35">
      <c r="A18" s="1"/>
      <c r="B18" s="1"/>
      <c r="C18" s="1"/>
      <c r="D18" s="1"/>
      <c r="E18" s="3" t="s">
        <v>91</v>
      </c>
      <c r="F18" s="3" t="s">
        <v>59</v>
      </c>
      <c r="G18" s="1"/>
      <c r="H18" s="1">
        <v>200</v>
      </c>
    </row>
    <row r="19" spans="1:8" x14ac:dyDescent="0.35">
      <c r="A19" s="1"/>
      <c r="B19" s="1"/>
      <c r="C19" s="1"/>
      <c r="D19" s="1"/>
      <c r="E19" s="3" t="s">
        <v>92</v>
      </c>
      <c r="F19" s="3" t="s">
        <v>93</v>
      </c>
      <c r="G19" s="1"/>
      <c r="H19" s="1">
        <v>800</v>
      </c>
    </row>
    <row r="20" spans="1:8" x14ac:dyDescent="0.35">
      <c r="A20" s="1"/>
      <c r="B20" s="1"/>
      <c r="C20" s="1"/>
      <c r="D20" s="1"/>
      <c r="E20" s="3" t="s">
        <v>95</v>
      </c>
      <c r="F20" s="3" t="s">
        <v>96</v>
      </c>
      <c r="G20" s="1"/>
      <c r="H20" s="1">
        <v>300</v>
      </c>
    </row>
    <row r="21" spans="1:8" x14ac:dyDescent="0.35">
      <c r="A21" s="1"/>
      <c r="B21" s="1"/>
      <c r="C21" s="1"/>
      <c r="D21" s="1"/>
      <c r="E21" s="3" t="s">
        <v>98</v>
      </c>
      <c r="F21" s="3" t="s">
        <v>99</v>
      </c>
      <c r="G21" s="1"/>
      <c r="H21" s="1">
        <v>500</v>
      </c>
    </row>
    <row r="22" spans="1:8" x14ac:dyDescent="0.35">
      <c r="A22" s="1"/>
      <c r="B22" s="1"/>
      <c r="C22" s="1"/>
      <c r="D22" s="1"/>
      <c r="E22" s="3" t="s">
        <v>101</v>
      </c>
      <c r="F22" s="3" t="s">
        <v>102</v>
      </c>
      <c r="G22" s="1"/>
      <c r="H22" s="1">
        <v>1000</v>
      </c>
    </row>
    <row r="23" spans="1:8" x14ac:dyDescent="0.35">
      <c r="A23" s="1"/>
      <c r="B23" s="1"/>
      <c r="C23" s="1"/>
      <c r="D23" s="1"/>
      <c r="E23" s="3" t="s">
        <v>104</v>
      </c>
      <c r="F23" s="3" t="s">
        <v>64</v>
      </c>
      <c r="G23" s="1"/>
      <c r="H23" s="1">
        <v>500</v>
      </c>
    </row>
    <row r="24" spans="1:8" x14ac:dyDescent="0.35">
      <c r="A24" s="1"/>
      <c r="B24" s="1"/>
      <c r="C24" s="1"/>
      <c r="D24" s="1"/>
      <c r="E24" s="1" t="s">
        <v>43</v>
      </c>
      <c r="F24" s="3" t="s">
        <v>62</v>
      </c>
      <c r="G24" s="1"/>
      <c r="H24" s="1">
        <v>500</v>
      </c>
    </row>
    <row r="25" spans="1:8" x14ac:dyDescent="0.35">
      <c r="A25" s="1"/>
      <c r="B25" s="1"/>
      <c r="C25" s="1"/>
      <c r="D25" s="1"/>
      <c r="E25" s="3" t="s">
        <v>107</v>
      </c>
      <c r="F25" s="3" t="s">
        <v>59</v>
      </c>
      <c r="G25" s="11"/>
      <c r="H25" s="10">
        <v>200</v>
      </c>
    </row>
    <row r="26" spans="1:8" x14ac:dyDescent="0.35">
      <c r="A26" s="1"/>
      <c r="B26" s="1"/>
      <c r="C26" s="1"/>
      <c r="D26" s="1"/>
      <c r="E26" s="3" t="s">
        <v>109</v>
      </c>
      <c r="F26" s="3" t="s">
        <v>66</v>
      </c>
      <c r="G26" s="11"/>
      <c r="H26" s="10">
        <v>350</v>
      </c>
    </row>
    <row r="27" spans="1:8" x14ac:dyDescent="0.35">
      <c r="A27" s="1"/>
      <c r="B27" s="1"/>
      <c r="C27" s="1"/>
      <c r="D27" s="1"/>
      <c r="E27" s="3" t="s">
        <v>111</v>
      </c>
      <c r="F27" s="3" t="s">
        <v>76</v>
      </c>
      <c r="G27" s="11"/>
      <c r="H27" s="10">
        <v>500</v>
      </c>
    </row>
    <row r="28" spans="1:8" x14ac:dyDescent="0.35">
      <c r="A28" s="1"/>
      <c r="B28" s="1"/>
      <c r="C28" s="1"/>
      <c r="D28" s="1"/>
      <c r="E28" s="3" t="s">
        <v>113</v>
      </c>
      <c r="F28" s="3" t="s">
        <v>115</v>
      </c>
      <c r="G28" s="11"/>
      <c r="H28" s="10">
        <v>5000</v>
      </c>
    </row>
    <row r="29" spans="1:8" x14ac:dyDescent="0.35">
      <c r="A29" s="1"/>
      <c r="B29" s="1"/>
      <c r="C29" s="1"/>
      <c r="D29" s="1"/>
      <c r="E29" s="3" t="s">
        <v>114</v>
      </c>
      <c r="F29" s="3" t="s">
        <v>59</v>
      </c>
      <c r="G29" s="11"/>
      <c r="H29" s="10">
        <v>150</v>
      </c>
    </row>
    <row r="30" spans="1:8" x14ac:dyDescent="0.35">
      <c r="A30" s="1"/>
      <c r="B30" s="1"/>
      <c r="C30" s="1"/>
      <c r="D30" s="1"/>
      <c r="E30" s="3"/>
      <c r="F30" s="3"/>
      <c r="G30" s="11"/>
      <c r="H30" s="10"/>
    </row>
    <row r="31" spans="1:8" x14ac:dyDescent="0.35">
      <c r="A31" s="1"/>
      <c r="B31" s="11" t="s">
        <v>133</v>
      </c>
      <c r="C31" s="1"/>
      <c r="D31" s="12">
        <v>16000</v>
      </c>
      <c r="E31" s="1"/>
      <c r="G31" s="11"/>
      <c r="H31" s="12">
        <v>16000</v>
      </c>
    </row>
    <row r="32" spans="1:8" x14ac:dyDescent="0.35">
      <c r="A32" s="1"/>
      <c r="B32" s="1"/>
      <c r="C32" s="1"/>
      <c r="D32" s="1"/>
      <c r="E32" s="1" t="s">
        <v>134</v>
      </c>
      <c r="F32" s="11" t="s">
        <v>135</v>
      </c>
      <c r="G32" s="1"/>
      <c r="H32" s="12">
        <v>6000</v>
      </c>
    </row>
    <row r="35" spans="1:11" ht="16" x14ac:dyDescent="0.4">
      <c r="D35" s="22" t="s">
        <v>136</v>
      </c>
      <c r="E35" s="22"/>
      <c r="J35" s="21"/>
      <c r="K35" s="21"/>
    </row>
    <row r="36" spans="1:11" x14ac:dyDescent="0.35">
      <c r="A36" s="9" t="s">
        <v>119</v>
      </c>
      <c r="B36" s="9" t="s">
        <v>120</v>
      </c>
      <c r="C36" s="9" t="s">
        <v>121</v>
      </c>
      <c r="D36" s="9" t="s">
        <v>122</v>
      </c>
      <c r="E36" s="9" t="s">
        <v>119</v>
      </c>
      <c r="F36" s="9" t="s">
        <v>123</v>
      </c>
      <c r="G36" s="9" t="s">
        <v>121</v>
      </c>
      <c r="H36" s="9" t="s">
        <v>122</v>
      </c>
    </row>
    <row r="37" spans="1:11" x14ac:dyDescent="0.35">
      <c r="A37" s="3" t="s">
        <v>1</v>
      </c>
      <c r="B37" s="1" t="s">
        <v>137</v>
      </c>
      <c r="C37" s="1"/>
      <c r="D37" s="10">
        <v>62000</v>
      </c>
      <c r="E37" s="3" t="s">
        <v>11</v>
      </c>
      <c r="F37" s="1" t="s">
        <v>138</v>
      </c>
      <c r="G37" s="1"/>
      <c r="H37" s="1">
        <v>9000</v>
      </c>
    </row>
    <row r="38" spans="1:11" x14ac:dyDescent="0.35">
      <c r="A38" s="1"/>
      <c r="B38" s="1"/>
      <c r="C38" s="1"/>
      <c r="D38" s="1"/>
      <c r="E38" s="3" t="s">
        <v>72</v>
      </c>
      <c r="F38" s="1" t="s">
        <v>139</v>
      </c>
      <c r="G38" s="1"/>
      <c r="H38" s="10">
        <v>10000</v>
      </c>
    </row>
    <row r="39" spans="1:11" x14ac:dyDescent="0.35">
      <c r="A39" s="1"/>
      <c r="B39" s="11"/>
      <c r="C39" s="11"/>
      <c r="D39" s="11"/>
      <c r="E39" s="11"/>
      <c r="F39" s="11" t="s">
        <v>140</v>
      </c>
      <c r="G39" s="11"/>
      <c r="H39" s="12"/>
    </row>
    <row r="40" spans="1:11" x14ac:dyDescent="0.35">
      <c r="A40" s="1"/>
      <c r="B40" s="11"/>
      <c r="C40" s="11"/>
      <c r="D40" s="12">
        <v>62000</v>
      </c>
      <c r="E40" s="11"/>
      <c r="G40" s="11"/>
      <c r="H40" s="12">
        <v>62000</v>
      </c>
    </row>
    <row r="41" spans="1:11" x14ac:dyDescent="0.35">
      <c r="A41" s="1" t="s">
        <v>134</v>
      </c>
      <c r="B41" s="11" t="s">
        <v>133</v>
      </c>
      <c r="C41" s="11"/>
      <c r="D41" s="12">
        <v>21000</v>
      </c>
      <c r="E41" s="11"/>
      <c r="F41" s="11"/>
      <c r="G41" s="11"/>
      <c r="H41" s="11"/>
    </row>
    <row r="44" spans="1:11" x14ac:dyDescent="0.35">
      <c r="D44" s="23" t="s">
        <v>141</v>
      </c>
      <c r="E44" s="23"/>
    </row>
    <row r="45" spans="1:11" x14ac:dyDescent="0.35">
      <c r="A45" s="9" t="s">
        <v>119</v>
      </c>
      <c r="B45" s="9" t="s">
        <v>120</v>
      </c>
      <c r="C45" s="9" t="s">
        <v>121</v>
      </c>
      <c r="D45" s="9" t="s">
        <v>122</v>
      </c>
      <c r="E45" s="9" t="s">
        <v>119</v>
      </c>
      <c r="F45" s="9" t="s">
        <v>123</v>
      </c>
      <c r="G45" s="9" t="s">
        <v>121</v>
      </c>
      <c r="H45" s="9" t="s">
        <v>122</v>
      </c>
    </row>
    <row r="46" spans="1:11" x14ac:dyDescent="0.35">
      <c r="A46" s="11" t="s">
        <v>134</v>
      </c>
      <c r="B46" s="11" t="s">
        <v>142</v>
      </c>
      <c r="C46" s="1"/>
      <c r="D46" s="12">
        <v>40000</v>
      </c>
      <c r="E46" s="3" t="s">
        <v>1</v>
      </c>
      <c r="F46" s="1" t="s">
        <v>143</v>
      </c>
      <c r="G46" s="1"/>
      <c r="H46" s="10">
        <v>40000</v>
      </c>
    </row>
    <row r="47" spans="1:11" x14ac:dyDescent="0.35">
      <c r="A47" s="1"/>
      <c r="B47" s="1"/>
      <c r="C47" s="1"/>
      <c r="D47" s="1"/>
      <c r="E47" s="1"/>
      <c r="F47" s="1"/>
      <c r="G47" s="1"/>
      <c r="H47" s="1"/>
    </row>
    <row r="48" spans="1:11" x14ac:dyDescent="0.35">
      <c r="A48" s="1"/>
      <c r="B48" s="1"/>
      <c r="C48" s="1"/>
      <c r="D48" s="12">
        <v>40000</v>
      </c>
      <c r="E48" s="11"/>
      <c r="F48" s="11" t="s">
        <v>144</v>
      </c>
      <c r="G48" s="11"/>
      <c r="H48" s="12">
        <v>40000</v>
      </c>
    </row>
    <row r="51" spans="1:8" ht="16" x14ac:dyDescent="0.4">
      <c r="D51" s="22" t="s">
        <v>145</v>
      </c>
      <c r="E51" s="22"/>
    </row>
    <row r="52" spans="1:8" x14ac:dyDescent="0.35">
      <c r="A52" s="9" t="s">
        <v>119</v>
      </c>
      <c r="B52" s="9" t="s">
        <v>120</v>
      </c>
      <c r="C52" s="9" t="s">
        <v>121</v>
      </c>
      <c r="D52" s="9" t="s">
        <v>122</v>
      </c>
      <c r="E52" s="9" t="s">
        <v>119</v>
      </c>
      <c r="F52" s="9" t="s">
        <v>123</v>
      </c>
      <c r="G52" s="9" t="s">
        <v>121</v>
      </c>
      <c r="H52" s="9" t="s">
        <v>122</v>
      </c>
    </row>
    <row r="53" spans="1:8" x14ac:dyDescent="0.35">
      <c r="A53" s="3" t="s">
        <v>3</v>
      </c>
      <c r="B53" s="1" t="s">
        <v>146</v>
      </c>
      <c r="C53" s="1"/>
      <c r="D53" s="1">
        <v>200</v>
      </c>
      <c r="E53" s="11" t="s">
        <v>134</v>
      </c>
      <c r="F53" s="11" t="s">
        <v>140</v>
      </c>
      <c r="G53" s="11"/>
      <c r="H53" s="12">
        <v>1250</v>
      </c>
    </row>
    <row r="54" spans="1:8" x14ac:dyDescent="0.35">
      <c r="A54" s="3" t="s">
        <v>13</v>
      </c>
      <c r="B54" s="1" t="s">
        <v>146</v>
      </c>
      <c r="C54" s="1"/>
      <c r="D54" s="1">
        <v>150</v>
      </c>
      <c r="E54" s="1"/>
      <c r="F54" s="11"/>
      <c r="G54" s="11"/>
      <c r="H54" s="11"/>
    </row>
    <row r="55" spans="1:8" x14ac:dyDescent="0.35">
      <c r="A55" s="1" t="s">
        <v>20</v>
      </c>
      <c r="B55" s="1" t="s">
        <v>146</v>
      </c>
      <c r="C55" s="1"/>
      <c r="D55" s="1">
        <v>200</v>
      </c>
      <c r="E55" s="1"/>
      <c r="F55" s="11"/>
      <c r="G55" s="11"/>
      <c r="H55" s="11"/>
    </row>
    <row r="56" spans="1:8" x14ac:dyDescent="0.35">
      <c r="A56" s="3" t="s">
        <v>87</v>
      </c>
      <c r="B56" s="1" t="s">
        <v>146</v>
      </c>
      <c r="C56" s="1"/>
      <c r="D56" s="1">
        <v>150</v>
      </c>
      <c r="E56" s="1"/>
      <c r="F56" s="11"/>
      <c r="G56" s="11"/>
      <c r="H56" s="11"/>
    </row>
    <row r="57" spans="1:8" x14ac:dyDescent="0.35">
      <c r="A57" s="3" t="s">
        <v>91</v>
      </c>
      <c r="B57" s="1" t="s">
        <v>146</v>
      </c>
      <c r="C57" s="1"/>
      <c r="D57" s="1">
        <v>200</v>
      </c>
      <c r="E57" s="1"/>
      <c r="F57" s="11"/>
      <c r="G57" s="11"/>
      <c r="H57" s="11"/>
    </row>
    <row r="58" spans="1:8" x14ac:dyDescent="0.35">
      <c r="A58" s="3" t="s">
        <v>107</v>
      </c>
      <c r="B58" s="1" t="s">
        <v>146</v>
      </c>
      <c r="C58" s="1"/>
      <c r="D58" s="1">
        <v>200</v>
      </c>
      <c r="E58" s="1"/>
      <c r="F58" s="11"/>
      <c r="G58" s="11"/>
      <c r="H58" s="11"/>
    </row>
    <row r="59" spans="1:8" x14ac:dyDescent="0.35">
      <c r="A59" s="3" t="s">
        <v>114</v>
      </c>
      <c r="B59" s="1" t="s">
        <v>146</v>
      </c>
      <c r="C59" s="1"/>
      <c r="D59" s="1">
        <v>150</v>
      </c>
      <c r="E59" s="1"/>
      <c r="F59" s="11"/>
      <c r="G59" s="11"/>
      <c r="H59" s="11"/>
    </row>
    <row r="60" spans="1:8" x14ac:dyDescent="0.35">
      <c r="A60" s="3"/>
      <c r="B60" s="1"/>
      <c r="C60" s="1"/>
      <c r="D60" s="1"/>
      <c r="E60" s="1"/>
      <c r="F60" s="11"/>
      <c r="G60" s="11"/>
      <c r="H60" s="11"/>
    </row>
    <row r="61" spans="1:8" x14ac:dyDescent="0.35">
      <c r="A61" s="1"/>
      <c r="B61" s="11" t="s">
        <v>133</v>
      </c>
      <c r="C61" s="11"/>
      <c r="D61" s="12">
        <v>1250</v>
      </c>
      <c r="E61" s="1"/>
      <c r="F61" s="11"/>
      <c r="G61" s="11"/>
      <c r="H61" s="12">
        <v>1250</v>
      </c>
    </row>
    <row r="64" spans="1:8" ht="16" x14ac:dyDescent="0.4">
      <c r="D64" s="22" t="s">
        <v>147</v>
      </c>
      <c r="E64" s="22"/>
    </row>
    <row r="65" spans="1:8" x14ac:dyDescent="0.35">
      <c r="A65" s="9" t="s">
        <v>119</v>
      </c>
      <c r="B65" s="9" t="s">
        <v>120</v>
      </c>
      <c r="C65" s="9" t="s">
        <v>121</v>
      </c>
      <c r="D65" s="9" t="s">
        <v>122</v>
      </c>
      <c r="E65" s="9" t="s">
        <v>119</v>
      </c>
      <c r="F65" s="9" t="s">
        <v>123</v>
      </c>
      <c r="G65" s="9" t="s">
        <v>121</v>
      </c>
      <c r="H65" s="9" t="s">
        <v>122</v>
      </c>
    </row>
    <row r="66" spans="1:8" x14ac:dyDescent="0.35">
      <c r="A66" s="3" t="s">
        <v>5</v>
      </c>
      <c r="B66" s="1" t="s">
        <v>148</v>
      </c>
      <c r="C66" s="1"/>
      <c r="D66" s="1">
        <v>1000</v>
      </c>
      <c r="E66" s="11" t="s">
        <v>134</v>
      </c>
      <c r="F66" s="11" t="s">
        <v>140</v>
      </c>
      <c r="G66" s="11"/>
      <c r="H66" s="12">
        <v>2400</v>
      </c>
    </row>
    <row r="67" spans="1:8" x14ac:dyDescent="0.35">
      <c r="A67" s="3" t="s">
        <v>80</v>
      </c>
      <c r="B67" s="1" t="s">
        <v>148</v>
      </c>
      <c r="C67" s="1"/>
      <c r="D67" s="1">
        <v>400</v>
      </c>
      <c r="E67" s="1"/>
      <c r="F67" s="1"/>
      <c r="G67" s="1"/>
      <c r="H67" s="1"/>
    </row>
    <row r="68" spans="1:8" x14ac:dyDescent="0.35">
      <c r="A68" s="3" t="s">
        <v>88</v>
      </c>
      <c r="B68" s="1" t="s">
        <v>148</v>
      </c>
      <c r="C68" s="1"/>
      <c r="D68" s="1">
        <v>500</v>
      </c>
      <c r="E68" s="1"/>
      <c r="F68" s="1"/>
      <c r="G68" s="1"/>
      <c r="H68" s="1"/>
    </row>
    <row r="69" spans="1:8" x14ac:dyDescent="0.35">
      <c r="A69" s="1" t="s">
        <v>43</v>
      </c>
      <c r="B69" s="1" t="s">
        <v>148</v>
      </c>
      <c r="C69" s="11"/>
      <c r="D69" s="1">
        <v>500</v>
      </c>
      <c r="E69" s="11"/>
      <c r="F69" s="11"/>
      <c r="G69" s="11"/>
      <c r="H69" s="11"/>
    </row>
    <row r="70" spans="1:8" x14ac:dyDescent="0.35">
      <c r="A70" s="1"/>
      <c r="B70" s="11" t="s">
        <v>133</v>
      </c>
      <c r="C70" s="11"/>
      <c r="D70" s="12">
        <v>2400</v>
      </c>
      <c r="E70" s="11"/>
      <c r="F70" s="11"/>
      <c r="G70" s="11"/>
      <c r="H70" s="12">
        <v>2400</v>
      </c>
    </row>
    <row r="73" spans="1:8" ht="16" x14ac:dyDescent="0.4">
      <c r="D73" s="22" t="s">
        <v>149</v>
      </c>
      <c r="E73" s="22"/>
    </row>
    <row r="74" spans="1:8" x14ac:dyDescent="0.35">
      <c r="A74" s="9" t="s">
        <v>119</v>
      </c>
      <c r="B74" s="9" t="s">
        <v>120</v>
      </c>
      <c r="C74" s="9" t="s">
        <v>121</v>
      </c>
      <c r="D74" s="9" t="s">
        <v>122</v>
      </c>
      <c r="E74" s="9" t="s">
        <v>119</v>
      </c>
      <c r="F74" s="9" t="s">
        <v>123</v>
      </c>
      <c r="G74" s="9" t="s">
        <v>121</v>
      </c>
      <c r="H74" s="9" t="s">
        <v>122</v>
      </c>
    </row>
    <row r="75" spans="1:8" x14ac:dyDescent="0.35">
      <c r="A75" s="3" t="s">
        <v>150</v>
      </c>
      <c r="B75" s="3" t="s">
        <v>60</v>
      </c>
      <c r="C75" s="3"/>
      <c r="D75" s="3">
        <v>500</v>
      </c>
      <c r="E75" s="13" t="s">
        <v>151</v>
      </c>
      <c r="F75" s="13" t="s">
        <v>152</v>
      </c>
      <c r="G75" s="13"/>
      <c r="H75" s="13">
        <v>1500</v>
      </c>
    </row>
    <row r="76" spans="1:8" x14ac:dyDescent="0.35">
      <c r="A76" s="3" t="s">
        <v>89</v>
      </c>
      <c r="B76" s="3" t="s">
        <v>60</v>
      </c>
      <c r="C76" s="3"/>
      <c r="D76" s="3">
        <v>500</v>
      </c>
      <c r="E76" s="3"/>
      <c r="F76" s="3"/>
      <c r="G76" s="3"/>
      <c r="H76" s="3"/>
    </row>
    <row r="77" spans="1:8" x14ac:dyDescent="0.35">
      <c r="A77" s="3" t="s">
        <v>104</v>
      </c>
      <c r="B77" s="3" t="s">
        <v>60</v>
      </c>
      <c r="C77" s="3"/>
      <c r="D77" s="3">
        <v>500</v>
      </c>
      <c r="E77" s="3"/>
      <c r="F77" s="3"/>
      <c r="G77" s="3"/>
      <c r="H77" s="3"/>
    </row>
    <row r="78" spans="1:8" x14ac:dyDescent="0.35">
      <c r="A78" s="3"/>
      <c r="B78" s="3"/>
      <c r="C78" s="3"/>
      <c r="D78" s="3"/>
      <c r="E78" s="3"/>
      <c r="F78" s="3"/>
      <c r="G78" s="3"/>
      <c r="H78" s="3"/>
    </row>
    <row r="79" spans="1:8" x14ac:dyDescent="0.35">
      <c r="A79" s="13"/>
      <c r="B79" s="13" t="s">
        <v>133</v>
      </c>
      <c r="C79" s="3"/>
      <c r="D79" s="13">
        <v>1500</v>
      </c>
      <c r="E79" s="13"/>
      <c r="F79" s="3"/>
      <c r="G79" s="3"/>
      <c r="H79" s="13">
        <v>1500</v>
      </c>
    </row>
    <row r="82" spans="1:8" ht="16" x14ac:dyDescent="0.4">
      <c r="D82" s="22" t="s">
        <v>153</v>
      </c>
      <c r="E82" s="22"/>
    </row>
    <row r="83" spans="1:8" x14ac:dyDescent="0.35">
      <c r="A83" s="9" t="s">
        <v>119</v>
      </c>
      <c r="B83" s="9" t="s">
        <v>120</v>
      </c>
      <c r="C83" s="9" t="s">
        <v>121</v>
      </c>
      <c r="D83" s="9" t="s">
        <v>122</v>
      </c>
      <c r="E83" s="9" t="s">
        <v>119</v>
      </c>
      <c r="F83" s="9" t="s">
        <v>123</v>
      </c>
      <c r="G83" s="9" t="s">
        <v>121</v>
      </c>
      <c r="H83" s="9" t="s">
        <v>122</v>
      </c>
    </row>
    <row r="84" spans="1:8" x14ac:dyDescent="0.35">
      <c r="A84" s="3" t="s">
        <v>154</v>
      </c>
      <c r="B84" s="3" t="s">
        <v>60</v>
      </c>
      <c r="C84" s="3"/>
      <c r="D84" s="3">
        <v>350</v>
      </c>
      <c r="E84" s="13" t="s">
        <v>151</v>
      </c>
      <c r="F84" s="13" t="s">
        <v>152</v>
      </c>
      <c r="G84" s="13"/>
      <c r="H84" s="13">
        <v>1050</v>
      </c>
    </row>
    <row r="85" spans="1:8" x14ac:dyDescent="0.35">
      <c r="A85" s="3" t="s">
        <v>85</v>
      </c>
      <c r="B85" s="3" t="s">
        <v>60</v>
      </c>
      <c r="C85" s="3"/>
      <c r="D85" s="3">
        <v>350</v>
      </c>
      <c r="E85" s="3"/>
      <c r="F85" s="3"/>
      <c r="G85" s="3"/>
      <c r="H85" s="3"/>
    </row>
    <row r="86" spans="1:8" x14ac:dyDescent="0.35">
      <c r="A86" s="3" t="s">
        <v>109</v>
      </c>
      <c r="B86" s="1" t="s">
        <v>60</v>
      </c>
      <c r="C86" s="1"/>
      <c r="D86" s="1">
        <v>350</v>
      </c>
      <c r="E86" s="1"/>
      <c r="F86" s="1"/>
      <c r="G86" s="1"/>
      <c r="H86" s="1"/>
    </row>
    <row r="87" spans="1:8" x14ac:dyDescent="0.35">
      <c r="A87" s="3"/>
      <c r="B87" s="1"/>
      <c r="C87" s="1"/>
      <c r="D87" s="1"/>
      <c r="E87" s="1"/>
      <c r="F87" s="1"/>
      <c r="G87" s="1"/>
      <c r="H87" s="1"/>
    </row>
    <row r="88" spans="1:8" x14ac:dyDescent="0.35">
      <c r="A88" s="1"/>
      <c r="B88" s="11" t="s">
        <v>133</v>
      </c>
      <c r="C88" s="11"/>
      <c r="D88" s="11">
        <v>1050</v>
      </c>
      <c r="E88" s="11"/>
      <c r="F88" s="11"/>
      <c r="G88" s="11"/>
      <c r="H88" s="11">
        <v>1050</v>
      </c>
    </row>
    <row r="91" spans="1:8" ht="16" x14ac:dyDescent="0.4">
      <c r="D91" s="22" t="s">
        <v>155</v>
      </c>
      <c r="E91" s="22"/>
    </row>
    <row r="92" spans="1:8" x14ac:dyDescent="0.35">
      <c r="A92" s="9" t="s">
        <v>119</v>
      </c>
      <c r="B92" s="9" t="s">
        <v>120</v>
      </c>
      <c r="C92" s="9" t="s">
        <v>121</v>
      </c>
      <c r="D92" s="9" t="s">
        <v>122</v>
      </c>
      <c r="E92" s="9" t="s">
        <v>119</v>
      </c>
      <c r="F92" s="9" t="s">
        <v>123</v>
      </c>
      <c r="G92" s="9" t="s">
        <v>121</v>
      </c>
      <c r="H92" s="9" t="s">
        <v>122</v>
      </c>
    </row>
    <row r="93" spans="1:8" x14ac:dyDescent="0.35">
      <c r="A93" s="3" t="s">
        <v>156</v>
      </c>
      <c r="B93" s="3" t="s">
        <v>69</v>
      </c>
      <c r="C93" s="3"/>
      <c r="D93" s="4">
        <v>9000</v>
      </c>
      <c r="E93" s="13" t="s">
        <v>151</v>
      </c>
      <c r="F93" s="13" t="s">
        <v>152</v>
      </c>
      <c r="G93" s="13"/>
      <c r="H93" s="14">
        <v>9000</v>
      </c>
    </row>
    <row r="94" spans="1:8" x14ac:dyDescent="0.35">
      <c r="A94" s="3"/>
      <c r="B94" s="3"/>
      <c r="C94" s="3"/>
      <c r="D94" s="4"/>
      <c r="E94" s="3"/>
      <c r="F94" s="3"/>
      <c r="G94" s="3"/>
      <c r="H94" s="4"/>
    </row>
    <row r="95" spans="1:8" x14ac:dyDescent="0.35">
      <c r="A95" s="3"/>
      <c r="B95" s="13" t="s">
        <v>157</v>
      </c>
      <c r="C95" s="13"/>
      <c r="D95" s="14">
        <v>9000</v>
      </c>
      <c r="E95" s="13"/>
      <c r="F95" s="13"/>
      <c r="G95" s="13"/>
      <c r="H95" s="14">
        <v>9000</v>
      </c>
    </row>
    <row r="98" spans="1:8" ht="16" x14ac:dyDescent="0.4">
      <c r="D98" s="22" t="s">
        <v>158</v>
      </c>
      <c r="E98" s="22"/>
    </row>
    <row r="99" spans="1:8" x14ac:dyDescent="0.35">
      <c r="A99" s="9" t="s">
        <v>119</v>
      </c>
      <c r="B99" s="9" t="s">
        <v>120</v>
      </c>
      <c r="C99" s="9" t="s">
        <v>121</v>
      </c>
      <c r="D99" s="9" t="s">
        <v>122</v>
      </c>
      <c r="E99" s="9" t="s">
        <v>119</v>
      </c>
      <c r="F99" s="9" t="s">
        <v>123</v>
      </c>
      <c r="G99" s="9" t="s">
        <v>121</v>
      </c>
      <c r="H99" s="9" t="s">
        <v>122</v>
      </c>
    </row>
    <row r="100" spans="1:8" x14ac:dyDescent="0.35">
      <c r="A100" s="3" t="s">
        <v>159</v>
      </c>
      <c r="B100" s="3" t="s">
        <v>60</v>
      </c>
      <c r="C100" s="3"/>
      <c r="D100" s="3">
        <v>200</v>
      </c>
      <c r="E100" s="13" t="s">
        <v>151</v>
      </c>
      <c r="F100" s="13" t="s">
        <v>152</v>
      </c>
      <c r="G100" s="13"/>
      <c r="H100" s="13">
        <v>700</v>
      </c>
    </row>
    <row r="101" spans="1:8" x14ac:dyDescent="0.35">
      <c r="A101" s="3" t="s">
        <v>111</v>
      </c>
      <c r="B101" s="3" t="s">
        <v>60</v>
      </c>
      <c r="C101" s="3"/>
      <c r="D101" s="3">
        <v>500</v>
      </c>
      <c r="E101" s="3"/>
      <c r="F101" s="3"/>
      <c r="G101" s="3"/>
      <c r="H101" s="3"/>
    </row>
    <row r="102" spans="1:8" x14ac:dyDescent="0.35">
      <c r="A102" s="3"/>
      <c r="B102" s="3"/>
      <c r="C102" s="3"/>
      <c r="D102" s="3"/>
      <c r="E102" s="3"/>
      <c r="F102" s="3"/>
      <c r="G102" s="3"/>
      <c r="H102" s="3"/>
    </row>
    <row r="103" spans="1:8" x14ac:dyDescent="0.35">
      <c r="A103" s="13"/>
      <c r="B103" s="13" t="s">
        <v>133</v>
      </c>
      <c r="C103" s="3"/>
      <c r="D103" s="13">
        <v>700</v>
      </c>
      <c r="E103" s="13"/>
      <c r="F103" s="3"/>
      <c r="G103" s="3"/>
      <c r="H103" s="13">
        <v>700</v>
      </c>
    </row>
    <row r="106" spans="1:8" ht="16" x14ac:dyDescent="0.4">
      <c r="D106" s="22" t="s">
        <v>160</v>
      </c>
      <c r="E106" s="22"/>
    </row>
    <row r="107" spans="1:8" x14ac:dyDescent="0.35">
      <c r="A107" s="9" t="s">
        <v>119</v>
      </c>
      <c r="B107" s="9" t="s">
        <v>120</v>
      </c>
      <c r="C107" s="9" t="s">
        <v>121</v>
      </c>
      <c r="D107" s="9" t="s">
        <v>122</v>
      </c>
      <c r="E107" s="9" t="s">
        <v>119</v>
      </c>
      <c r="F107" s="9" t="s">
        <v>123</v>
      </c>
      <c r="G107" s="9" t="s">
        <v>121</v>
      </c>
      <c r="H107" s="9" t="s">
        <v>122</v>
      </c>
    </row>
    <row r="108" spans="1:8" x14ac:dyDescent="0.35">
      <c r="A108" s="3" t="s">
        <v>82</v>
      </c>
      <c r="B108" s="3" t="s">
        <v>60</v>
      </c>
      <c r="C108" s="3"/>
      <c r="D108" s="4">
        <v>1500</v>
      </c>
      <c r="E108" s="13" t="s">
        <v>151</v>
      </c>
      <c r="F108" s="13" t="s">
        <v>152</v>
      </c>
      <c r="G108" s="13"/>
      <c r="H108" s="14">
        <v>1500</v>
      </c>
    </row>
    <row r="109" spans="1:8" x14ac:dyDescent="0.35">
      <c r="A109" s="3"/>
      <c r="B109" s="3"/>
      <c r="C109" s="3"/>
      <c r="D109" s="4"/>
      <c r="E109" s="3"/>
      <c r="F109" s="3"/>
      <c r="G109" s="3"/>
      <c r="H109" s="4"/>
    </row>
    <row r="110" spans="1:8" x14ac:dyDescent="0.35">
      <c r="A110" s="13"/>
      <c r="B110" s="13" t="s">
        <v>133</v>
      </c>
      <c r="C110" s="3"/>
      <c r="D110" s="14">
        <v>1500</v>
      </c>
      <c r="E110" s="13"/>
      <c r="F110" s="3"/>
      <c r="G110" s="3"/>
      <c r="H110" s="14">
        <v>1500</v>
      </c>
    </row>
    <row r="112" spans="1:8" ht="16" x14ac:dyDescent="0.4">
      <c r="D112" s="22" t="s">
        <v>161</v>
      </c>
      <c r="E112" s="22"/>
    </row>
    <row r="113" spans="1:8" x14ac:dyDescent="0.35">
      <c r="A113" s="9" t="s">
        <v>119</v>
      </c>
      <c r="B113" s="9" t="s">
        <v>120</v>
      </c>
      <c r="C113" s="9" t="s">
        <v>121</v>
      </c>
      <c r="D113" s="9" t="s">
        <v>122</v>
      </c>
      <c r="E113" s="9" t="s">
        <v>119</v>
      </c>
      <c r="F113" s="9" t="s">
        <v>123</v>
      </c>
      <c r="G113" s="9" t="s">
        <v>121</v>
      </c>
      <c r="H113" s="9" t="s">
        <v>122</v>
      </c>
    </row>
    <row r="114" spans="1:8" x14ac:dyDescent="0.35">
      <c r="A114" s="3" t="s">
        <v>92</v>
      </c>
      <c r="B114" s="1" t="s">
        <v>146</v>
      </c>
      <c r="C114" s="1"/>
      <c r="D114" s="1">
        <v>800</v>
      </c>
      <c r="E114" s="1"/>
      <c r="F114" s="1" t="s">
        <v>140</v>
      </c>
      <c r="G114" s="1"/>
      <c r="H114" s="1">
        <v>800</v>
      </c>
    </row>
    <row r="115" spans="1:8" x14ac:dyDescent="0.35">
      <c r="A115" s="1"/>
      <c r="B115" s="1"/>
      <c r="C115" s="1"/>
      <c r="D115" s="1"/>
      <c r="E115" s="1"/>
      <c r="F115" s="1"/>
      <c r="G115" s="1"/>
      <c r="H115" s="1"/>
    </row>
    <row r="116" spans="1:8" x14ac:dyDescent="0.35">
      <c r="A116" s="1"/>
      <c r="B116" s="11" t="s">
        <v>157</v>
      </c>
      <c r="C116" s="11"/>
      <c r="D116" s="11">
        <v>800</v>
      </c>
      <c r="E116" s="1"/>
      <c r="F116" s="1"/>
      <c r="G116" s="1"/>
      <c r="H116" s="1">
        <v>800</v>
      </c>
    </row>
    <row r="117" spans="1:8" x14ac:dyDescent="0.35">
      <c r="B117" s="19"/>
      <c r="C117" s="19"/>
      <c r="D117" s="19"/>
    </row>
    <row r="118" spans="1:8" ht="16" x14ac:dyDescent="0.4">
      <c r="D118" s="22" t="s">
        <v>162</v>
      </c>
      <c r="E118" s="22"/>
    </row>
    <row r="119" spans="1:8" x14ac:dyDescent="0.35">
      <c r="A119" s="9" t="s">
        <v>119</v>
      </c>
      <c r="B119" s="9" t="s">
        <v>120</v>
      </c>
      <c r="C119" s="9" t="s">
        <v>121</v>
      </c>
      <c r="D119" s="9" t="s">
        <v>122</v>
      </c>
      <c r="E119" s="9" t="s">
        <v>119</v>
      </c>
      <c r="F119" s="9" t="s">
        <v>123</v>
      </c>
      <c r="G119" s="9" t="s">
        <v>121</v>
      </c>
      <c r="H119" s="9" t="s">
        <v>122</v>
      </c>
    </row>
    <row r="120" spans="1:8" x14ac:dyDescent="0.35">
      <c r="A120" s="3" t="s">
        <v>95</v>
      </c>
      <c r="B120" s="1" t="s">
        <v>146</v>
      </c>
      <c r="C120" s="1"/>
      <c r="D120" s="1">
        <v>300</v>
      </c>
      <c r="E120" s="1"/>
      <c r="F120" s="1" t="s">
        <v>140</v>
      </c>
      <c r="G120" s="1"/>
      <c r="H120" s="1">
        <v>300</v>
      </c>
    </row>
    <row r="121" spans="1:8" x14ac:dyDescent="0.35">
      <c r="A121" s="1"/>
      <c r="B121" s="1"/>
      <c r="C121" s="1"/>
      <c r="D121" s="1"/>
      <c r="E121" s="1"/>
      <c r="F121" s="1"/>
      <c r="G121" s="1"/>
      <c r="H121" s="1"/>
    </row>
    <row r="122" spans="1:8" x14ac:dyDescent="0.35">
      <c r="A122" s="1"/>
      <c r="B122" s="11" t="s">
        <v>163</v>
      </c>
      <c r="C122" s="11"/>
      <c r="D122" s="11">
        <v>300</v>
      </c>
      <c r="E122" s="1"/>
      <c r="F122" s="1"/>
      <c r="G122" s="1"/>
      <c r="H122" s="1">
        <v>300</v>
      </c>
    </row>
    <row r="124" spans="1:8" ht="16" x14ac:dyDescent="0.4">
      <c r="D124" s="22" t="s">
        <v>164</v>
      </c>
      <c r="E124" s="22"/>
    </row>
    <row r="125" spans="1:8" x14ac:dyDescent="0.35">
      <c r="A125" s="9" t="s">
        <v>119</v>
      </c>
      <c r="B125" s="9" t="s">
        <v>120</v>
      </c>
      <c r="C125" s="9" t="s">
        <v>121</v>
      </c>
      <c r="D125" s="9" t="s">
        <v>122</v>
      </c>
      <c r="E125" s="9" t="s">
        <v>119</v>
      </c>
      <c r="F125" s="9" t="s">
        <v>123</v>
      </c>
      <c r="G125" s="9" t="s">
        <v>121</v>
      </c>
      <c r="H125" s="9" t="s">
        <v>122</v>
      </c>
    </row>
    <row r="126" spans="1:8" x14ac:dyDescent="0.35">
      <c r="A126" s="3" t="s">
        <v>98</v>
      </c>
      <c r="B126" s="1" t="s">
        <v>148</v>
      </c>
      <c r="C126" s="1"/>
      <c r="D126" s="1">
        <v>500</v>
      </c>
      <c r="E126" s="1"/>
      <c r="F126" s="1" t="s">
        <v>140</v>
      </c>
      <c r="G126" s="1"/>
      <c r="H126" s="1">
        <v>500</v>
      </c>
    </row>
    <row r="127" spans="1:8" x14ac:dyDescent="0.35">
      <c r="A127" s="1"/>
      <c r="B127" s="1"/>
      <c r="C127" s="1"/>
      <c r="D127" s="1"/>
      <c r="E127" s="1"/>
      <c r="F127" s="1"/>
      <c r="G127" s="1"/>
      <c r="H127" s="1"/>
    </row>
    <row r="128" spans="1:8" x14ac:dyDescent="0.35">
      <c r="A128" s="1"/>
      <c r="B128" s="11" t="s">
        <v>133</v>
      </c>
      <c r="C128" s="11"/>
      <c r="D128" s="11">
        <v>500</v>
      </c>
      <c r="E128" s="1"/>
      <c r="F128" s="1"/>
      <c r="G128" s="1"/>
      <c r="H128" s="1">
        <v>500</v>
      </c>
    </row>
    <row r="130" spans="1:8" ht="16" x14ac:dyDescent="0.4">
      <c r="D130" s="22" t="s">
        <v>165</v>
      </c>
      <c r="E130" s="22"/>
    </row>
    <row r="131" spans="1:8" x14ac:dyDescent="0.35">
      <c r="A131" s="9" t="s">
        <v>119</v>
      </c>
      <c r="B131" s="9" t="s">
        <v>120</v>
      </c>
      <c r="C131" s="9" t="s">
        <v>121</v>
      </c>
      <c r="D131" s="9" t="s">
        <v>122</v>
      </c>
      <c r="E131" s="9" t="s">
        <v>119</v>
      </c>
      <c r="F131" s="9" t="s">
        <v>123</v>
      </c>
      <c r="G131" s="9" t="s">
        <v>121</v>
      </c>
      <c r="H131" s="9" t="s">
        <v>122</v>
      </c>
    </row>
    <row r="132" spans="1:8" x14ac:dyDescent="0.35">
      <c r="A132" s="1"/>
      <c r="B132" s="1" t="s">
        <v>142</v>
      </c>
      <c r="C132" s="1"/>
      <c r="D132" s="1">
        <v>1000</v>
      </c>
      <c r="E132" s="3" t="s">
        <v>101</v>
      </c>
      <c r="F132" s="1" t="s">
        <v>166</v>
      </c>
      <c r="G132" s="1"/>
      <c r="H132" s="1">
        <v>1000</v>
      </c>
    </row>
    <row r="133" spans="1:8" x14ac:dyDescent="0.35">
      <c r="A133" s="1"/>
      <c r="B133" s="1"/>
      <c r="C133" s="1"/>
      <c r="D133" s="1"/>
      <c r="E133" s="1"/>
      <c r="F133" s="1"/>
      <c r="G133" s="1"/>
      <c r="H133" s="1"/>
    </row>
    <row r="134" spans="1:8" x14ac:dyDescent="0.35">
      <c r="A134" s="1"/>
      <c r="B134" s="1" t="s">
        <v>133</v>
      </c>
      <c r="C134" s="1"/>
      <c r="D134" s="1">
        <v>1000</v>
      </c>
      <c r="E134" s="1"/>
      <c r="F134" s="1" t="s">
        <v>167</v>
      </c>
      <c r="G134" s="1"/>
      <c r="H134" s="1">
        <v>1000</v>
      </c>
    </row>
    <row r="136" spans="1:8" x14ac:dyDescent="0.35">
      <c r="D136" s="24" t="s">
        <v>168</v>
      </c>
      <c r="E136" s="24"/>
    </row>
    <row r="137" spans="1:8" x14ac:dyDescent="0.35">
      <c r="A137" s="9" t="s">
        <v>119</v>
      </c>
      <c r="B137" s="9" t="s">
        <v>120</v>
      </c>
      <c r="C137" s="9" t="s">
        <v>121</v>
      </c>
      <c r="D137" s="9" t="s">
        <v>122</v>
      </c>
      <c r="E137" s="9" t="s">
        <v>119</v>
      </c>
      <c r="F137" s="9" t="s">
        <v>123</v>
      </c>
      <c r="G137" s="9" t="s">
        <v>121</v>
      </c>
      <c r="H137" s="9" t="s">
        <v>122</v>
      </c>
    </row>
    <row r="138" spans="1:8" x14ac:dyDescent="0.35">
      <c r="A138" s="3" t="s">
        <v>113</v>
      </c>
      <c r="B138" s="1" t="s">
        <v>148</v>
      </c>
      <c r="C138" s="1"/>
      <c r="D138" s="1">
        <v>5000</v>
      </c>
      <c r="E138" s="1"/>
      <c r="F138" s="1"/>
      <c r="G138" s="1"/>
      <c r="H138" s="11">
        <v>5000</v>
      </c>
    </row>
    <row r="139" spans="1:8" x14ac:dyDescent="0.35">
      <c r="A139" s="1"/>
      <c r="B139" s="1"/>
      <c r="C139" s="1"/>
      <c r="D139" s="1"/>
      <c r="E139" s="1"/>
      <c r="F139" s="1"/>
      <c r="G139" s="1"/>
      <c r="H139" s="1"/>
    </row>
    <row r="140" spans="1:8" x14ac:dyDescent="0.35">
      <c r="A140" s="1"/>
      <c r="B140" s="11" t="s">
        <v>133</v>
      </c>
      <c r="C140" s="11"/>
      <c r="D140" s="11">
        <v>5000</v>
      </c>
      <c r="E140" s="11"/>
      <c r="F140" s="11"/>
      <c r="G140" s="11"/>
      <c r="H140" s="11">
        <v>5000</v>
      </c>
    </row>
  </sheetData>
  <mergeCells count="16">
    <mergeCell ref="D118:E118"/>
    <mergeCell ref="D124:E124"/>
    <mergeCell ref="D130:E130"/>
    <mergeCell ref="D136:E136"/>
    <mergeCell ref="D73:E73"/>
    <mergeCell ref="D82:E82"/>
    <mergeCell ref="D91:E91"/>
    <mergeCell ref="D98:E98"/>
    <mergeCell ref="D106:E106"/>
    <mergeCell ref="D112:E112"/>
    <mergeCell ref="D64:E64"/>
    <mergeCell ref="A1:H1"/>
    <mergeCell ref="A3:H3"/>
    <mergeCell ref="D35:E35"/>
    <mergeCell ref="D44:E44"/>
    <mergeCell ref="D51:E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BA63-5D42-4187-96F0-57F038AEBA06}">
  <dimension ref="A3:H21"/>
  <sheetViews>
    <sheetView workbookViewId="0">
      <selection activeCell="C4" sqref="C4:C5"/>
    </sheetView>
  </sheetViews>
  <sheetFormatPr defaultRowHeight="14.5" x14ac:dyDescent="0.35"/>
  <cols>
    <col min="1" max="1" width="9.54296875" customWidth="1"/>
    <col min="2" max="2" width="34.36328125" customWidth="1"/>
    <col min="3" max="3" width="11.81640625" customWidth="1"/>
    <col min="4" max="4" width="12" customWidth="1"/>
  </cols>
  <sheetData>
    <row r="3" spans="1:8" ht="16" x14ac:dyDescent="0.4">
      <c r="A3" s="15" t="s">
        <v>169</v>
      </c>
      <c r="B3" s="15" t="s">
        <v>51</v>
      </c>
      <c r="C3" s="15" t="s">
        <v>170</v>
      </c>
      <c r="D3" s="15" t="s">
        <v>171</v>
      </c>
    </row>
    <row r="4" spans="1:8" x14ac:dyDescent="0.35">
      <c r="A4" s="1">
        <v>1</v>
      </c>
      <c r="B4" s="16" t="s">
        <v>173</v>
      </c>
      <c r="C4" s="18">
        <v>16000</v>
      </c>
      <c r="D4" s="17"/>
    </row>
    <row r="5" spans="1:8" x14ac:dyDescent="0.35">
      <c r="A5" s="1">
        <v>2</v>
      </c>
      <c r="B5" s="1" t="s">
        <v>174</v>
      </c>
      <c r="C5" s="10">
        <v>21000</v>
      </c>
      <c r="D5" s="1"/>
    </row>
    <row r="6" spans="1:8" x14ac:dyDescent="0.35">
      <c r="A6" s="1">
        <v>3</v>
      </c>
      <c r="B6" s="1" t="s">
        <v>175</v>
      </c>
      <c r="C6" s="10"/>
      <c r="D6" s="10">
        <v>62000</v>
      </c>
      <c r="H6" s="20">
        <f>SUM(C4:C18)</f>
        <v>62000</v>
      </c>
    </row>
    <row r="7" spans="1:8" x14ac:dyDescent="0.35">
      <c r="A7" s="1">
        <v>4</v>
      </c>
      <c r="B7" s="1" t="s">
        <v>176</v>
      </c>
      <c r="C7" s="10">
        <v>1250</v>
      </c>
      <c r="D7" s="1"/>
    </row>
    <row r="8" spans="1:8" x14ac:dyDescent="0.35">
      <c r="A8" s="1">
        <v>5</v>
      </c>
      <c r="B8" s="1" t="s">
        <v>177</v>
      </c>
      <c r="C8" s="10">
        <v>2400</v>
      </c>
      <c r="D8" s="1"/>
    </row>
    <row r="9" spans="1:8" x14ac:dyDescent="0.35">
      <c r="A9" s="1">
        <v>6</v>
      </c>
      <c r="B9" s="1" t="s">
        <v>178</v>
      </c>
      <c r="C9" s="10">
        <v>1500</v>
      </c>
      <c r="D9" s="1"/>
    </row>
    <row r="10" spans="1:8" x14ac:dyDescent="0.35">
      <c r="A10" s="1">
        <v>7</v>
      </c>
      <c r="B10" s="1" t="s">
        <v>179</v>
      </c>
      <c r="C10" s="10">
        <v>1050</v>
      </c>
      <c r="D10" s="1"/>
    </row>
    <row r="11" spans="1:8" x14ac:dyDescent="0.35">
      <c r="A11" s="1">
        <v>8</v>
      </c>
      <c r="B11" s="1" t="s">
        <v>180</v>
      </c>
      <c r="C11" s="10">
        <v>9000</v>
      </c>
      <c r="D11" s="1"/>
    </row>
    <row r="12" spans="1:8" x14ac:dyDescent="0.35">
      <c r="A12" s="1">
        <v>9</v>
      </c>
      <c r="B12" s="1" t="s">
        <v>181</v>
      </c>
      <c r="C12" s="10">
        <v>700</v>
      </c>
      <c r="D12" s="1"/>
    </row>
    <row r="13" spans="1:8" x14ac:dyDescent="0.35">
      <c r="A13" s="1">
        <v>10</v>
      </c>
      <c r="B13" s="1" t="s">
        <v>182</v>
      </c>
      <c r="C13" s="10">
        <v>1500</v>
      </c>
      <c r="D13" s="1"/>
    </row>
    <row r="14" spans="1:8" x14ac:dyDescent="0.35">
      <c r="A14" s="1">
        <v>11</v>
      </c>
      <c r="B14" s="1" t="s">
        <v>183</v>
      </c>
      <c r="C14" s="10">
        <v>800</v>
      </c>
      <c r="D14" s="1"/>
    </row>
    <row r="15" spans="1:8" x14ac:dyDescent="0.35">
      <c r="A15" s="1">
        <v>12</v>
      </c>
      <c r="B15" s="1" t="s">
        <v>184</v>
      </c>
      <c r="C15" s="10">
        <v>300</v>
      </c>
      <c r="D15" s="1"/>
    </row>
    <row r="16" spans="1:8" x14ac:dyDescent="0.35">
      <c r="A16" s="1">
        <v>13</v>
      </c>
      <c r="B16" s="1" t="s">
        <v>185</v>
      </c>
      <c r="C16" s="10">
        <v>500</v>
      </c>
      <c r="D16" s="1"/>
    </row>
    <row r="17" spans="1:4" x14ac:dyDescent="0.35">
      <c r="A17" s="1">
        <v>14</v>
      </c>
      <c r="B17" s="1" t="s">
        <v>186</v>
      </c>
      <c r="C17" s="1">
        <v>1000</v>
      </c>
      <c r="D17" s="1"/>
    </row>
    <row r="18" spans="1:4" x14ac:dyDescent="0.35">
      <c r="A18" s="1">
        <v>15</v>
      </c>
      <c r="B18" s="1" t="s">
        <v>187</v>
      </c>
      <c r="C18" s="1">
        <v>5000</v>
      </c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6" t="s">
        <v>172</v>
      </c>
      <c r="C20" s="12">
        <v>62000</v>
      </c>
      <c r="D20" s="12">
        <v>62000</v>
      </c>
    </row>
    <row r="21" spans="1:4" x14ac:dyDescent="0.35">
      <c r="A21" s="1"/>
      <c r="B21" s="1"/>
      <c r="C21" s="1"/>
      <c r="D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DBD0-3F15-4585-AB1E-807343708EF8}">
  <dimension ref="A1:F18"/>
  <sheetViews>
    <sheetView workbookViewId="0">
      <selection activeCell="A4" sqref="A4:F18"/>
    </sheetView>
  </sheetViews>
  <sheetFormatPr defaultRowHeight="14.5" x14ac:dyDescent="0.35"/>
  <cols>
    <col min="1" max="1" width="33.26953125" customWidth="1"/>
    <col min="2" max="2" width="11.26953125" customWidth="1"/>
    <col min="3" max="3" width="12.36328125" customWidth="1"/>
    <col min="4" max="4" width="28.08984375" customWidth="1"/>
    <col min="5" max="5" width="12.6328125" customWidth="1"/>
    <col min="6" max="6" width="13.453125" customWidth="1"/>
  </cols>
  <sheetData>
    <row r="1" spans="1:6" ht="16" x14ac:dyDescent="0.4">
      <c r="A1" s="22" t="s">
        <v>188</v>
      </c>
      <c r="B1" s="22"/>
      <c r="C1" s="22"/>
      <c r="D1" s="22"/>
      <c r="E1" s="22"/>
      <c r="F1" s="22"/>
    </row>
    <row r="3" spans="1:6" x14ac:dyDescent="0.35">
      <c r="A3" s="26" t="s">
        <v>189</v>
      </c>
      <c r="B3" s="26" t="s">
        <v>122</v>
      </c>
      <c r="C3" s="26" t="s">
        <v>122</v>
      </c>
      <c r="D3" s="26" t="s">
        <v>190</v>
      </c>
      <c r="E3" s="26" t="s">
        <v>122</v>
      </c>
      <c r="F3" s="26" t="s">
        <v>122</v>
      </c>
    </row>
    <row r="4" spans="1:6" x14ac:dyDescent="0.35">
      <c r="A4" s="1"/>
      <c r="B4" s="10"/>
      <c r="C4" s="10"/>
      <c r="D4" s="1"/>
      <c r="E4" s="1"/>
      <c r="F4" s="10"/>
    </row>
    <row r="5" spans="1:6" x14ac:dyDescent="0.35">
      <c r="A5" s="1" t="s">
        <v>192</v>
      </c>
      <c r="B5" s="1"/>
      <c r="C5" s="10">
        <v>1250</v>
      </c>
      <c r="D5" s="1" t="s">
        <v>191</v>
      </c>
      <c r="E5" s="1"/>
      <c r="F5" s="10">
        <v>25000</v>
      </c>
    </row>
    <row r="6" spans="1:6" x14ac:dyDescent="0.35">
      <c r="A6" s="1" t="s">
        <v>193</v>
      </c>
      <c r="B6" s="1"/>
      <c r="C6" s="10">
        <v>2400</v>
      </c>
      <c r="D6" s="1"/>
      <c r="E6" s="1"/>
      <c r="F6" s="1"/>
    </row>
    <row r="7" spans="1:6" x14ac:dyDescent="0.35">
      <c r="A7" s="1" t="s">
        <v>194</v>
      </c>
      <c r="B7" s="1"/>
      <c r="C7" s="10">
        <v>1500</v>
      </c>
      <c r="D7" s="1"/>
      <c r="E7" s="1"/>
      <c r="F7" s="1"/>
    </row>
    <row r="8" spans="1:6" x14ac:dyDescent="0.35">
      <c r="A8" s="1" t="s">
        <v>195</v>
      </c>
      <c r="B8" s="1"/>
      <c r="C8" s="10">
        <v>1050</v>
      </c>
      <c r="D8" s="1"/>
      <c r="E8" s="1"/>
      <c r="F8" s="1"/>
    </row>
    <row r="9" spans="1:6" x14ac:dyDescent="0.35">
      <c r="A9" s="1" t="s">
        <v>196</v>
      </c>
      <c r="B9" s="1"/>
      <c r="C9" s="10">
        <v>9000</v>
      </c>
      <c r="D9" s="1"/>
      <c r="E9" s="1"/>
      <c r="F9" s="1"/>
    </row>
    <row r="10" spans="1:6" x14ac:dyDescent="0.35">
      <c r="A10" s="1" t="s">
        <v>197</v>
      </c>
      <c r="B10" s="1"/>
      <c r="C10" s="10">
        <v>700</v>
      </c>
      <c r="D10" s="1"/>
      <c r="E10" s="1"/>
      <c r="F10" s="1"/>
    </row>
    <row r="11" spans="1:6" x14ac:dyDescent="0.35">
      <c r="A11" s="1" t="s">
        <v>198</v>
      </c>
      <c r="B11" s="1"/>
      <c r="C11" s="10">
        <v>1500</v>
      </c>
      <c r="D11" s="1"/>
      <c r="E11" s="1"/>
      <c r="F11" s="1"/>
    </row>
    <row r="12" spans="1:6" x14ac:dyDescent="0.35">
      <c r="A12" s="1" t="s">
        <v>199</v>
      </c>
      <c r="B12" s="1"/>
      <c r="C12" s="10">
        <v>800</v>
      </c>
      <c r="D12" s="1"/>
      <c r="E12" s="1"/>
      <c r="F12" s="1"/>
    </row>
    <row r="13" spans="1:6" x14ac:dyDescent="0.35">
      <c r="A13" s="1" t="s">
        <v>200</v>
      </c>
      <c r="B13" s="1"/>
      <c r="C13" s="10">
        <v>300</v>
      </c>
      <c r="D13" s="1"/>
      <c r="E13" s="1"/>
      <c r="F13" s="1"/>
    </row>
    <row r="14" spans="1:6" x14ac:dyDescent="0.35">
      <c r="A14" s="1" t="s">
        <v>201</v>
      </c>
      <c r="B14" s="1"/>
      <c r="C14" s="10">
        <v>500</v>
      </c>
      <c r="D14" s="1"/>
      <c r="E14" s="1"/>
      <c r="F14" s="1"/>
    </row>
    <row r="15" spans="1:6" x14ac:dyDescent="0.35">
      <c r="A15" s="1" t="s">
        <v>202</v>
      </c>
      <c r="B15" s="1"/>
      <c r="C15" s="1">
        <v>1000</v>
      </c>
      <c r="D15" s="1"/>
      <c r="E15" s="1"/>
      <c r="F15" s="12"/>
    </row>
    <row r="16" spans="1:6" x14ac:dyDescent="0.35">
      <c r="A16" s="1" t="s">
        <v>203</v>
      </c>
      <c r="B16" s="1"/>
      <c r="C16" s="1">
        <v>5000</v>
      </c>
      <c r="D16" s="1"/>
      <c r="E16" s="1"/>
      <c r="F16" s="1"/>
    </row>
    <row r="17" spans="1:6" x14ac:dyDescent="0.35">
      <c r="A17" s="1"/>
      <c r="B17" s="1"/>
      <c r="C17" s="1"/>
      <c r="D17" s="1"/>
      <c r="E17" s="1"/>
      <c r="F17" s="1"/>
    </row>
    <row r="18" spans="1:6" x14ac:dyDescent="0.35">
      <c r="A18" s="11"/>
      <c r="B18" s="1"/>
      <c r="C18" s="12">
        <f>SUM(C5:C16)</f>
        <v>25000</v>
      </c>
      <c r="D18" s="11"/>
      <c r="E18" s="11"/>
      <c r="F18" s="12">
        <f>SUM(F5:F16)</f>
        <v>25000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01EE-368E-4D7D-AAB6-4B3D84A2428C}">
  <dimension ref="A1:F9"/>
  <sheetViews>
    <sheetView tabSelected="1" workbookViewId="0">
      <selection activeCell="H10" sqref="H10"/>
    </sheetView>
  </sheetViews>
  <sheetFormatPr defaultRowHeight="14.5" x14ac:dyDescent="0.35"/>
  <cols>
    <col min="1" max="1" width="35.453125" customWidth="1"/>
    <col min="2" max="2" width="11" customWidth="1"/>
    <col min="3" max="3" width="11.1796875" customWidth="1"/>
    <col min="4" max="4" width="36.08984375" customWidth="1"/>
    <col min="5" max="5" width="11.6328125" customWidth="1"/>
    <col min="6" max="6" width="11.54296875" customWidth="1"/>
  </cols>
  <sheetData>
    <row r="1" spans="1:6" ht="16" x14ac:dyDescent="0.4">
      <c r="A1" s="22" t="s">
        <v>204</v>
      </c>
      <c r="B1" s="22"/>
      <c r="C1" s="22"/>
      <c r="D1" s="22"/>
      <c r="E1" s="22"/>
      <c r="F1" s="22"/>
    </row>
    <row r="3" spans="1:6" ht="16" x14ac:dyDescent="0.4">
      <c r="A3" s="27" t="s">
        <v>205</v>
      </c>
      <c r="B3" s="27" t="s">
        <v>122</v>
      </c>
      <c r="C3" s="27" t="s">
        <v>122</v>
      </c>
      <c r="D3" s="27" t="s">
        <v>206</v>
      </c>
      <c r="E3" s="27" t="s">
        <v>122</v>
      </c>
      <c r="F3" s="27" t="s">
        <v>122</v>
      </c>
    </row>
    <row r="4" spans="1:6" x14ac:dyDescent="0.35">
      <c r="A4" s="1" t="s">
        <v>207</v>
      </c>
      <c r="B4" s="10">
        <v>62000</v>
      </c>
      <c r="C4" s="1"/>
      <c r="D4" s="1" t="s">
        <v>208</v>
      </c>
      <c r="E4" s="1"/>
      <c r="F4" s="18">
        <v>16000</v>
      </c>
    </row>
    <row r="5" spans="1:6" x14ac:dyDescent="0.35">
      <c r="A5" s="1" t="s">
        <v>209</v>
      </c>
      <c r="B5" s="10">
        <v>25000</v>
      </c>
      <c r="C5" s="1"/>
      <c r="D5" s="1" t="s">
        <v>210</v>
      </c>
      <c r="E5" s="1"/>
      <c r="F5" s="10">
        <v>21000</v>
      </c>
    </row>
    <row r="6" spans="1:6" x14ac:dyDescent="0.35">
      <c r="A6" s="1"/>
      <c r="B6" s="1"/>
      <c r="C6" s="10"/>
      <c r="D6" s="1"/>
      <c r="E6" s="1"/>
      <c r="F6" s="1"/>
    </row>
    <row r="7" spans="1:6" x14ac:dyDescent="0.35">
      <c r="A7" s="1"/>
      <c r="B7" s="1"/>
      <c r="C7" s="1"/>
      <c r="D7" s="1"/>
      <c r="E7" s="1"/>
      <c r="F7" s="1"/>
    </row>
    <row r="8" spans="1:6" x14ac:dyDescent="0.35">
      <c r="A8" s="1"/>
      <c r="B8" s="1"/>
      <c r="C8" s="12">
        <f>B4-B5</f>
        <v>37000</v>
      </c>
      <c r="D8" s="1"/>
      <c r="E8" s="1"/>
      <c r="F8" s="12">
        <f>SUM(F4:F5)</f>
        <v>37000</v>
      </c>
    </row>
    <row r="9" spans="1:6" x14ac:dyDescent="0.35">
      <c r="A9" s="1"/>
      <c r="B9" s="1"/>
      <c r="C9" s="1"/>
      <c r="D9" s="1"/>
      <c r="E9" s="1"/>
      <c r="F9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 </vt:lpstr>
      <vt:lpstr>Journal</vt:lpstr>
      <vt:lpstr>Ledger</vt:lpstr>
      <vt:lpstr>Trial balance </vt:lpstr>
      <vt:lpstr>Income &amp; Expenditure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aravindvarun2009@outlook.com</dc:creator>
  <cp:lastModifiedBy>aravindvarun2009@outlook.com</cp:lastModifiedBy>
  <dcterms:created xsi:type="dcterms:W3CDTF">2026-08-28T03:28:48Z</dcterms:created>
  <dcterms:modified xsi:type="dcterms:W3CDTF">2026-08-31T05:34:37Z</dcterms:modified>
</cp:coreProperties>
</file>